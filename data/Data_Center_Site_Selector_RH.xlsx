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colostate-my.sharepoint.com/personal/laffite_colostate_edu/Documents/Desktop/Classes/2026 Spring/CIVE-580C4 Applying AI in Environmental Engr Practice/Final project/App_v2/Siteworks2/data/"/>
    </mc:Choice>
  </mc:AlternateContent>
  <xr:revisionPtr revIDLastSave="1151" documentId="11_CB780128D071F47F630230D6525DCE3A2746A58A" xr6:coauthVersionLast="47" xr6:coauthVersionMax="47" xr10:uidLastSave="{021857B9-811B-4D0E-A50C-2B3CD42429A0}"/>
  <bookViews>
    <workbookView xWindow="-108" yWindow="-108" windowWidth="30936" windowHeight="18696" activeTab="4" xr2:uid="{00000000-000D-0000-FFFF-FFFF00000000}"/>
    <workbookView xWindow="-108" yWindow="-108" windowWidth="30936" windowHeight="18696" tabRatio="707" activeTab="4" xr2:uid="{C789D543-12B0-4242-A688-B41AF874B720}"/>
  </bookViews>
  <sheets>
    <sheet name="Site Selector Data - edited" sheetId="2" r:id="rId1"/>
    <sheet name="City Assignments" sheetId="3" r:id="rId2"/>
    <sheet name="Accounts" sheetId="4" r:id="rId3"/>
    <sheet name="Values" sheetId="7" r:id="rId4"/>
    <sheet name="Scores" sheetId="5" r:id="rId5"/>
    <sheet name="Sources" sheetId="8" r:id="rId6"/>
    <sheet name="Scoring Criteria" sheetId="6" r:id="rId7"/>
    <sheet name="Account Weights" sheetId="9" r:id="rId8"/>
    <sheet name="Scenarios" sheetId="10" r:id="rId9"/>
    <sheet name="Scenario-Drought" sheetId="11"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3" i="5" l="1"/>
  <c r="T4" i="5"/>
  <c r="T5" i="5"/>
  <c r="T6" i="5"/>
  <c r="T2" i="5"/>
  <c r="U2" i="5"/>
  <c r="D3" i="11"/>
  <c r="D4" i="11"/>
  <c r="D5" i="11"/>
  <c r="D6" i="11"/>
  <c r="D2" i="11"/>
  <c r="C3" i="11"/>
  <c r="C4" i="11"/>
  <c r="C5" i="11"/>
  <c r="C6" i="11"/>
  <c r="C2" i="11"/>
  <c r="B3" i="11"/>
  <c r="B4" i="11"/>
  <c r="B5" i="11"/>
  <c r="B6" i="11"/>
  <c r="B2" i="11"/>
  <c r="D3" i="10"/>
  <c r="D4" i="10"/>
  <c r="D5" i="10"/>
  <c r="D6" i="10"/>
  <c r="D2" i="10"/>
  <c r="C3" i="10"/>
  <c r="C4" i="10"/>
  <c r="C5" i="10"/>
  <c r="C6" i="10"/>
  <c r="C2" i="10"/>
  <c r="B6" i="9"/>
  <c r="B5" i="9"/>
  <c r="B4" i="9"/>
  <c r="B3" i="9"/>
  <c r="B2" i="9"/>
  <c r="C3" i="6"/>
  <c r="D3" i="6"/>
  <c r="C4" i="6"/>
  <c r="D4" i="6"/>
  <c r="C5" i="6"/>
  <c r="D5" i="6"/>
  <c r="C6" i="6"/>
  <c r="D6" i="6"/>
  <c r="C7" i="6"/>
  <c r="D7" i="6"/>
  <c r="C8" i="6"/>
  <c r="D8" i="6"/>
  <c r="C9" i="6"/>
  <c r="D9" i="6"/>
  <c r="C10" i="6"/>
  <c r="D10" i="6"/>
  <c r="C11" i="6"/>
  <c r="D11" i="6"/>
  <c r="C12" i="6"/>
  <c r="D12" i="6"/>
  <c r="C13" i="6"/>
  <c r="D13" i="6"/>
  <c r="C14" i="6"/>
  <c r="D14" i="6"/>
  <c r="C15" i="6"/>
  <c r="D15" i="6"/>
  <c r="C16" i="6"/>
  <c r="D16" i="6"/>
  <c r="C17" i="6"/>
  <c r="D17" i="6"/>
  <c r="C18" i="6"/>
  <c r="D18" i="6"/>
  <c r="C19" i="6"/>
  <c r="D19" i="6"/>
  <c r="C20" i="6"/>
  <c r="D20" i="6"/>
  <c r="C21" i="6"/>
  <c r="D21" i="6"/>
  <c r="C22" i="6"/>
  <c r="D22" i="6"/>
  <c r="C23" i="6"/>
  <c r="D23" i="6"/>
  <c r="C24" i="6"/>
  <c r="D24" i="6"/>
  <c r="C25" i="6"/>
  <c r="D25" i="6"/>
  <c r="C26" i="6"/>
  <c r="D26" i="6"/>
  <c r="C27" i="6"/>
  <c r="D27" i="6"/>
  <c r="C28" i="6"/>
  <c r="D28" i="6"/>
  <c r="C29" i="6"/>
  <c r="D29" i="6"/>
  <c r="C30" i="6"/>
  <c r="D30" i="6"/>
  <c r="C31" i="6"/>
  <c r="D31" i="6"/>
  <c r="C32" i="6"/>
  <c r="D32" i="6"/>
  <c r="C33" i="6"/>
  <c r="D33" i="6"/>
  <c r="C34" i="6"/>
  <c r="D34" i="6"/>
  <c r="C35" i="6"/>
  <c r="D35" i="6"/>
  <c r="C36" i="6"/>
  <c r="D36" i="6"/>
  <c r="C37" i="6"/>
  <c r="D37" i="6"/>
  <c r="C38" i="6"/>
  <c r="D38" i="6"/>
  <c r="C39" i="6"/>
  <c r="D39" i="6"/>
  <c r="C40" i="6"/>
  <c r="D40" i="6"/>
  <c r="C41" i="6"/>
  <c r="D41" i="6"/>
  <c r="C42" i="6"/>
  <c r="D42" i="6"/>
  <c r="C43" i="6"/>
  <c r="D43" i="6"/>
  <c r="C44" i="6"/>
  <c r="D44" i="6"/>
  <c r="C45" i="6"/>
  <c r="D45" i="6"/>
  <c r="C46" i="6"/>
  <c r="D46" i="6"/>
  <c r="C47" i="6"/>
  <c r="D47" i="6"/>
  <c r="C48" i="6"/>
  <c r="D48" i="6"/>
  <c r="C49" i="6"/>
  <c r="D49" i="6"/>
  <c r="C50" i="6"/>
  <c r="D50" i="6"/>
  <c r="C51" i="6"/>
  <c r="D51" i="6"/>
  <c r="C52" i="6"/>
  <c r="D52" i="6"/>
  <c r="C53" i="6"/>
  <c r="D53" i="6"/>
  <c r="C54" i="6"/>
  <c r="D54" i="6"/>
  <c r="C55" i="6"/>
  <c r="D55" i="6"/>
  <c r="C56" i="6"/>
  <c r="D56" i="6"/>
  <c r="C57" i="6"/>
  <c r="D57" i="6"/>
  <c r="C58" i="6"/>
  <c r="D58" i="6"/>
  <c r="C59" i="6"/>
  <c r="D59" i="6"/>
  <c r="C60" i="6"/>
  <c r="D60" i="6"/>
  <c r="C61" i="6"/>
  <c r="D61" i="6"/>
  <c r="C62" i="6"/>
  <c r="D62" i="6"/>
  <c r="C63" i="6"/>
  <c r="D63" i="6"/>
  <c r="C64" i="6"/>
  <c r="D64" i="6"/>
  <c r="C65" i="6"/>
  <c r="D65" i="6"/>
  <c r="C66" i="6"/>
  <c r="D66" i="6"/>
  <c r="C67" i="6"/>
  <c r="D67" i="6"/>
  <c r="C68" i="6"/>
  <c r="D68" i="6"/>
  <c r="C69" i="6"/>
  <c r="D69" i="6"/>
  <c r="C70" i="6"/>
  <c r="D70" i="6"/>
  <c r="C71" i="6"/>
  <c r="D71" i="6"/>
  <c r="C72" i="6"/>
  <c r="D72" i="6"/>
  <c r="C73" i="6"/>
  <c r="D73" i="6"/>
  <c r="C74" i="6"/>
  <c r="D74" i="6"/>
  <c r="C75" i="6"/>
  <c r="D75" i="6"/>
  <c r="C76" i="6"/>
  <c r="D76" i="6"/>
  <c r="C77" i="6"/>
  <c r="D77" i="6"/>
  <c r="C78" i="6"/>
  <c r="D78" i="6"/>
  <c r="D2" i="6"/>
  <c r="C2" i="6"/>
  <c r="R2" i="8"/>
  <c r="R3" i="8"/>
  <c r="R4" i="8"/>
  <c r="R5" i="8"/>
  <c r="R6" i="8"/>
  <c r="Q6" i="8"/>
  <c r="O2" i="8"/>
  <c r="O3" i="8"/>
  <c r="O4" i="8"/>
  <c r="O5" i="8"/>
  <c r="O6" i="8"/>
  <c r="P2" i="8"/>
  <c r="P3" i="8"/>
  <c r="P4" i="8"/>
  <c r="P5" i="8"/>
  <c r="P6" i="8"/>
  <c r="Q2" i="8"/>
  <c r="Q3" i="8"/>
  <c r="Q4" i="8"/>
  <c r="Q5" i="8"/>
  <c r="K2" i="8"/>
  <c r="K3" i="8"/>
  <c r="K4" i="8"/>
  <c r="K5" i="8"/>
  <c r="K6" i="8"/>
  <c r="L2" i="8"/>
  <c r="L3" i="8"/>
  <c r="L4" i="8"/>
  <c r="L5" i="8"/>
  <c r="L6" i="8"/>
  <c r="M2" i="8"/>
  <c r="M3" i="8"/>
  <c r="M4" i="8"/>
  <c r="M5" i="8"/>
  <c r="M6" i="8"/>
  <c r="N2" i="8"/>
  <c r="N3" i="8"/>
  <c r="N4" i="8"/>
  <c r="N5" i="8"/>
  <c r="N6" i="8"/>
  <c r="H2" i="8"/>
  <c r="H3" i="8"/>
  <c r="H4" i="8"/>
  <c r="H5" i="8"/>
  <c r="H6" i="8"/>
  <c r="I2" i="8"/>
  <c r="I3" i="8"/>
  <c r="I4" i="8"/>
  <c r="I5" i="8"/>
  <c r="I6" i="8"/>
  <c r="J2" i="8"/>
  <c r="J3" i="8"/>
  <c r="J4" i="8"/>
  <c r="J5" i="8"/>
  <c r="J6" i="8"/>
  <c r="G2" i="8"/>
  <c r="G3" i="8"/>
  <c r="G4" i="8"/>
  <c r="G5" i="8"/>
  <c r="G6" i="8"/>
  <c r="C3" i="8"/>
  <c r="C4" i="8"/>
  <c r="C5" i="8"/>
  <c r="C6" i="8"/>
  <c r="D2" i="8"/>
  <c r="D3" i="8"/>
  <c r="D4" i="8"/>
  <c r="D5" i="8"/>
  <c r="D6" i="8"/>
  <c r="E2" i="8"/>
  <c r="E3" i="8"/>
  <c r="E4" i="8"/>
  <c r="E5" i="8"/>
  <c r="E6" i="8"/>
  <c r="F2" i="8"/>
  <c r="F3" i="8"/>
  <c r="F4" i="8"/>
  <c r="F5" i="8"/>
  <c r="F6" i="8"/>
  <c r="C2" i="8"/>
  <c r="Q3" i="7"/>
  <c r="Q4" i="7"/>
  <c r="Q5" i="7"/>
  <c r="Q6" i="7"/>
  <c r="Q7" i="7"/>
  <c r="R3" i="7"/>
  <c r="R4" i="7"/>
  <c r="R5" i="7"/>
  <c r="R6" i="7"/>
  <c r="R7" i="7"/>
  <c r="P3" i="7"/>
  <c r="P4" i="7"/>
  <c r="P5" i="7"/>
  <c r="P6" i="7"/>
  <c r="P7" i="7"/>
  <c r="O3" i="7"/>
  <c r="O4" i="7"/>
  <c r="O5" i="7"/>
  <c r="O6" i="7"/>
  <c r="O7" i="7"/>
  <c r="N3" i="7"/>
  <c r="N4" i="7"/>
  <c r="N5" i="7"/>
  <c r="N6" i="7"/>
  <c r="N7" i="7"/>
  <c r="M3" i="7"/>
  <c r="M4" i="7"/>
  <c r="M5" i="7"/>
  <c r="M6" i="7"/>
  <c r="M7" i="7"/>
  <c r="L3" i="7"/>
  <c r="L4" i="7"/>
  <c r="L5" i="7"/>
  <c r="L6" i="7"/>
  <c r="L7" i="7"/>
  <c r="K3" i="7"/>
  <c r="K4" i="7"/>
  <c r="K5" i="7"/>
  <c r="K6" i="7"/>
  <c r="K7" i="7"/>
  <c r="J7" i="7"/>
  <c r="J3" i="7"/>
  <c r="J4" i="7"/>
  <c r="J5" i="7"/>
  <c r="J6" i="7"/>
  <c r="I3" i="7"/>
  <c r="I4" i="7"/>
  <c r="I5" i="7"/>
  <c r="I6" i="7"/>
  <c r="I7" i="7"/>
  <c r="H3" i="7"/>
  <c r="H4" i="7"/>
  <c r="H5" i="7"/>
  <c r="H6" i="7"/>
  <c r="H7" i="7"/>
  <c r="G3" i="7"/>
  <c r="G4" i="7"/>
  <c r="G5" i="7"/>
  <c r="G6" i="7"/>
  <c r="G7" i="7"/>
  <c r="F4" i="7"/>
  <c r="F5" i="7"/>
  <c r="F6" i="7"/>
  <c r="F7" i="7"/>
  <c r="F3" i="7"/>
  <c r="E4" i="7"/>
  <c r="E5" i="7"/>
  <c r="E6" i="7"/>
  <c r="E7" i="7"/>
  <c r="E3" i="7"/>
  <c r="D4" i="7"/>
  <c r="D5" i="7"/>
  <c r="D6" i="7"/>
  <c r="D7" i="7"/>
  <c r="D3" i="7"/>
  <c r="C4" i="7"/>
  <c r="C5" i="7"/>
  <c r="C6" i="7"/>
  <c r="C7" i="7"/>
  <c r="C3" i="7"/>
  <c r="D2" i="5"/>
  <c r="D3" i="5"/>
  <c r="D4" i="5"/>
  <c r="D5" i="5"/>
  <c r="D6" i="5"/>
  <c r="E2" i="5"/>
  <c r="E3" i="5"/>
  <c r="E4" i="5"/>
  <c r="E5" i="5"/>
  <c r="E6" i="5"/>
  <c r="F2" i="5"/>
  <c r="F3" i="5"/>
  <c r="F4" i="5"/>
  <c r="F5" i="5"/>
  <c r="F6" i="5"/>
  <c r="G2" i="5"/>
  <c r="G3" i="5"/>
  <c r="G4" i="5"/>
  <c r="G5" i="5"/>
  <c r="G6" i="5"/>
  <c r="H2" i="5"/>
  <c r="H3" i="5"/>
  <c r="H4" i="5"/>
  <c r="H5" i="5"/>
  <c r="H6" i="5"/>
  <c r="I2" i="5"/>
  <c r="I3" i="5"/>
  <c r="I4" i="5"/>
  <c r="I5" i="5"/>
  <c r="I6" i="5"/>
  <c r="J2" i="5"/>
  <c r="J3" i="5"/>
  <c r="J4" i="5"/>
  <c r="J5" i="5"/>
  <c r="J6" i="5"/>
  <c r="K2" i="5"/>
  <c r="K3" i="5"/>
  <c r="K4" i="5"/>
  <c r="K5" i="5"/>
  <c r="K6" i="5"/>
  <c r="L2" i="5"/>
  <c r="L3" i="5"/>
  <c r="L4" i="5"/>
  <c r="L5" i="5"/>
  <c r="L6" i="5"/>
  <c r="M2" i="5"/>
  <c r="M3" i="5"/>
  <c r="M4" i="5"/>
  <c r="M5" i="5"/>
  <c r="M6" i="5"/>
  <c r="N2" i="5"/>
  <c r="N3" i="5"/>
  <c r="N4" i="5"/>
  <c r="N5" i="5"/>
  <c r="N6" i="5"/>
  <c r="O2" i="5"/>
  <c r="O3" i="5"/>
  <c r="O4" i="5"/>
  <c r="O5" i="5"/>
  <c r="O6" i="5"/>
  <c r="P2" i="5"/>
  <c r="P3" i="5"/>
  <c r="P4" i="5"/>
  <c r="P5" i="5"/>
  <c r="P6" i="5"/>
  <c r="Q2" i="5"/>
  <c r="Q3" i="5"/>
  <c r="Q4" i="5"/>
  <c r="Q5" i="5"/>
  <c r="Q6" i="5"/>
  <c r="R2" i="5"/>
  <c r="R3" i="5"/>
  <c r="R4" i="5"/>
  <c r="R5" i="5"/>
  <c r="R6" i="5"/>
  <c r="C3" i="5"/>
  <c r="C4" i="5"/>
  <c r="C5" i="5"/>
  <c r="C6" i="5"/>
  <c r="C2"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Abbey Norton</author>
  </authors>
  <commentList>
    <comment ref="F12" authorId="0" shapeId="0" xr:uid="{32CB8943-2B27-4775-8FD6-7C05F5B48EE1}">
      <text>
        <r>
          <rPr>
            <b/>
            <sz val="9"/>
            <color indexed="81"/>
            <rFont val="Tahoma"/>
            <family val="2"/>
          </rPr>
          <t>Abbey Norton:</t>
        </r>
        <r>
          <rPr>
            <sz val="9"/>
            <color indexed="81"/>
            <rFont val="Tahoma"/>
            <family val="2"/>
          </rPr>
          <t xml:space="preserve">
Chose Logan Airport. include snow</t>
        </r>
      </text>
    </comment>
    <comment ref="F13" authorId="0" shapeId="0" xr:uid="{2BE31B03-68CA-48F5-9E3B-688BEA7FAF01}">
      <text>
        <r>
          <rPr>
            <b/>
            <sz val="9"/>
            <color indexed="81"/>
            <rFont val="Tahoma"/>
            <family val="2"/>
          </rPr>
          <t>Abbey Norton:</t>
        </r>
        <r>
          <rPr>
            <sz val="9"/>
            <color indexed="81"/>
            <rFont val="Tahoma"/>
            <family val="2"/>
          </rPr>
          <t xml:space="preserve">
Chose Denver Water Dep, includes snow</t>
        </r>
      </text>
    </comment>
    <comment ref="F14" authorId="0" shapeId="0" xr:uid="{53D69E69-DDCB-4F42-B97A-76C92D400D9D}">
      <text>
        <r>
          <rPr>
            <b/>
            <sz val="9"/>
            <color indexed="81"/>
            <rFont val="Tahoma"/>
            <family val="2"/>
          </rPr>
          <t>Abbey Norton:</t>
        </r>
        <r>
          <rPr>
            <sz val="9"/>
            <color indexed="81"/>
            <rFont val="Tahoma"/>
            <family val="2"/>
          </rPr>
          <t xml:space="preserve">
Chose Houston-Port.
</t>
        </r>
      </text>
    </comment>
    <comment ref="F15" authorId="0" shapeId="0" xr:uid="{C9ED076F-20D3-4516-8952-4D8B9810EF1B}">
      <text>
        <r>
          <rPr>
            <b/>
            <sz val="9"/>
            <color indexed="81"/>
            <rFont val="Tahoma"/>
            <family val="2"/>
          </rPr>
          <t>Abbey Norton:</t>
        </r>
        <r>
          <rPr>
            <sz val="9"/>
            <color indexed="81"/>
            <rFont val="Tahoma"/>
            <family val="2"/>
          </rPr>
          <t xml:space="preserve">
Chose Regional Airport</t>
        </r>
      </text>
    </comment>
    <comment ref="F46" authorId="0" shapeId="0" xr:uid="{137FF342-4E58-4B74-AED5-CA75FD851EB7}">
      <text>
        <r>
          <rPr>
            <b/>
            <sz val="9"/>
            <color indexed="81"/>
            <rFont val="Tahoma"/>
            <family val="2"/>
          </rPr>
          <t>Abbey Norton:</t>
        </r>
        <r>
          <rPr>
            <sz val="9"/>
            <color indexed="81"/>
            <rFont val="Tahoma"/>
            <family val="2"/>
          </rPr>
          <t xml:space="preserve">
Used Nov 2025, Over AWC up to 250%.</t>
        </r>
      </text>
    </comment>
    <comment ref="F47" authorId="0" shapeId="0" xr:uid="{DF6B7FF3-9D4B-4D17-98CF-AFD1E89706E6}">
      <text>
        <r>
          <rPr>
            <b/>
            <sz val="9"/>
            <color indexed="81"/>
            <rFont val="Tahoma"/>
            <family val="2"/>
          </rPr>
          <t>Abbey Norton:</t>
        </r>
        <r>
          <rPr>
            <sz val="9"/>
            <color indexed="81"/>
            <rFont val="Tahoma"/>
            <family val="2"/>
          </rPr>
          <t xml:space="preserve">
Using 2026 Water, Sewer, Stormwater rate for over 1,299 days. There is also a extra storm water fee</t>
        </r>
      </text>
    </comment>
    <comment ref="F48" authorId="0" shapeId="0" xr:uid="{380E3113-3DDC-41F0-B491-D97DAEC76926}">
      <text>
        <r>
          <rPr>
            <b/>
            <sz val="9"/>
            <color indexed="81"/>
            <rFont val="Tahoma"/>
            <family val="2"/>
          </rPr>
          <t>Abbey Norton:</t>
        </r>
        <r>
          <rPr>
            <sz val="9"/>
            <color indexed="81"/>
            <rFont val="Tahoma"/>
            <family val="2"/>
          </rPr>
          <t xml:space="preserve">
Used 2026 data for inside city limits, non-residential customers. Used the 4xAWC value</t>
        </r>
      </text>
    </comment>
    <comment ref="F49" authorId="0" shapeId="0" xr:uid="{BF044A99-AAEF-4040-8CA5-E1687C46133D}">
      <text>
        <r>
          <rPr>
            <b/>
            <sz val="9"/>
            <color indexed="81"/>
            <rFont val="Tahoma"/>
            <family val="2"/>
          </rPr>
          <t>Abbey Norton:</t>
        </r>
        <r>
          <rPr>
            <sz val="9"/>
            <color indexed="81"/>
            <rFont val="Tahoma"/>
            <family val="2"/>
          </rPr>
          <t xml:space="preserve">
Industrial, No Surcharge table, combined water and wastewater since it was available. Otherwise just 7.53</t>
        </r>
      </text>
    </comment>
    <comment ref="F50" authorId="0" shapeId="0" xr:uid="{22A1A83F-D91D-4D23-8422-C25669899B60}">
      <text>
        <r>
          <rPr>
            <b/>
            <sz val="9"/>
            <color indexed="81"/>
            <rFont val="Tahoma"/>
            <family val="2"/>
          </rPr>
          <t>Abbey Norton:</t>
        </r>
        <r>
          <rPr>
            <sz val="9"/>
            <color indexed="81"/>
            <rFont val="Tahoma"/>
            <family val="2"/>
          </rPr>
          <t xml:space="preserve">
Used general industry, within city limits
</t>
        </r>
      </text>
    </comment>
    <comment ref="F61" authorId="0" shapeId="0" xr:uid="{FEE6ECF9-8404-45F8-B278-901476390E94}">
      <text>
        <r>
          <rPr>
            <b/>
            <sz val="9"/>
            <color indexed="81"/>
            <rFont val="Tahoma"/>
            <family val="2"/>
          </rPr>
          <t>Abbey Norton:</t>
        </r>
        <r>
          <rPr>
            <sz val="9"/>
            <color indexed="81"/>
            <rFont val="Tahoma"/>
            <family val="2"/>
          </rPr>
          <t xml:space="preserve">
73102</t>
        </r>
      </text>
    </comment>
    <comment ref="F62" authorId="0" shapeId="0" xr:uid="{12ABC6A3-CE50-48BF-90A8-101B432BD93A}">
      <text>
        <r>
          <rPr>
            <b/>
            <sz val="9"/>
            <color indexed="81"/>
            <rFont val="Tahoma"/>
            <family val="2"/>
          </rPr>
          <t>Abbey Norton:</t>
        </r>
        <r>
          <rPr>
            <sz val="9"/>
            <color indexed="81"/>
            <rFont val="Tahoma"/>
            <family val="2"/>
          </rPr>
          <t xml:space="preserve">
02108</t>
        </r>
      </text>
    </comment>
    <comment ref="F63" authorId="0" shapeId="0" xr:uid="{9411B83E-9568-499D-9229-D1BB61BE69EC}">
      <text>
        <r>
          <rPr>
            <b/>
            <sz val="9"/>
            <color indexed="81"/>
            <rFont val="Tahoma"/>
            <family val="2"/>
          </rPr>
          <t>Abbey Norton:</t>
        </r>
        <r>
          <rPr>
            <sz val="9"/>
            <color indexed="81"/>
            <rFont val="Tahoma"/>
            <family val="2"/>
          </rPr>
          <t xml:space="preserve">
80202</t>
        </r>
      </text>
    </comment>
    <comment ref="F64" authorId="0" shapeId="0" xr:uid="{0BE33C29-96EC-4D70-BFA3-B53CC2A76B10}">
      <text>
        <r>
          <rPr>
            <b/>
            <sz val="9"/>
            <color indexed="81"/>
            <rFont val="Tahoma"/>
            <family val="2"/>
          </rPr>
          <t>Abbey Norton:</t>
        </r>
        <r>
          <rPr>
            <sz val="9"/>
            <color indexed="81"/>
            <rFont val="Tahoma"/>
            <family val="2"/>
          </rPr>
          <t xml:space="preserve">
77002</t>
        </r>
      </text>
    </comment>
    <comment ref="F65" authorId="0" shapeId="0" xr:uid="{7127C32C-2914-4DB0-89B6-390CDED3A289}">
      <text>
        <r>
          <rPr>
            <b/>
            <sz val="9"/>
            <color indexed="81"/>
            <rFont val="Tahoma"/>
            <family val="2"/>
          </rPr>
          <t>Abbey Norton:</t>
        </r>
        <r>
          <rPr>
            <sz val="9"/>
            <color indexed="81"/>
            <rFont val="Tahoma"/>
            <family val="2"/>
          </rPr>
          <t xml:space="preserve">
32601</t>
        </r>
      </text>
    </comment>
    <comment ref="F67" authorId="0" shapeId="0" xr:uid="{42ED9A2E-2604-4254-B216-3445734F1E53}">
      <text>
        <r>
          <rPr>
            <b/>
            <sz val="9"/>
            <color indexed="81"/>
            <rFont val="Tahoma"/>
            <family val="2"/>
          </rPr>
          <t>Abbey Norton:</t>
        </r>
        <r>
          <rPr>
            <sz val="9"/>
            <color indexed="81"/>
            <rFont val="Tahoma"/>
            <family val="2"/>
          </rPr>
          <t xml:space="preserve">
Can't find any data for it. They are few and far between</t>
        </r>
      </text>
    </comment>
  </commentList>
</comments>
</file>

<file path=xl/sharedStrings.xml><?xml version="1.0" encoding="utf-8"?>
<sst xmlns="http://schemas.openxmlformats.org/spreadsheetml/2006/main" count="489" uniqueCount="173">
  <si>
    <t>Account Weights</t>
  </si>
  <si>
    <t>City Assignments</t>
  </si>
  <si>
    <t>Hydrological &amp; Regulatory Risk</t>
  </si>
  <si>
    <t>Climate &amp; Operational Physics</t>
  </si>
  <si>
    <t>Economic &amp; Social Impact</t>
  </si>
  <si>
    <t>Natural Hazards</t>
  </si>
  <si>
    <t>Biodiversity</t>
  </si>
  <si>
    <t>1</t>
  </si>
  <si>
    <t>2</t>
  </si>
  <si>
    <t>3</t>
  </si>
  <si>
    <t>4</t>
  </si>
  <si>
    <t>5</t>
  </si>
  <si>
    <t>Oklahoma City</t>
  </si>
  <si>
    <t>Boston</t>
  </si>
  <si>
    <t>Denver</t>
  </si>
  <si>
    <t>Houston</t>
  </si>
  <si>
    <t>Gainesville</t>
  </si>
  <si>
    <t>Account</t>
  </si>
  <si>
    <t>Sub-Account</t>
  </si>
  <si>
    <t>Description</t>
  </si>
  <si>
    <t>Unit</t>
  </si>
  <si>
    <t>City</t>
  </si>
  <si>
    <t>Value</t>
  </si>
  <si>
    <t>Score</t>
  </si>
  <si>
    <t>Source</t>
  </si>
  <si>
    <t>Baseline Water Stress (Regional)</t>
  </si>
  <si>
    <t>Regional water withdrawal to availability ratio (WRI framework)</t>
  </si>
  <si>
    <t>Category</t>
  </si>
  <si>
    <t>High</t>
  </si>
  <si>
    <t>https://www.wri.org/applications/aqueduct/water-risk-atlas/</t>
  </si>
  <si>
    <t>Low-Medium</t>
  </si>
  <si>
    <t>Low</t>
  </si>
  <si>
    <t>Annual Precipitation (1991-2020)</t>
  </si>
  <si>
    <t>NOAA 30-year climate normal total precipitation</t>
  </si>
  <si>
    <t>inches</t>
  </si>
  <si>
    <t>https://www.ncei.noaa.gov/products/land-based-station/us-climate-normals</t>
  </si>
  <si>
    <t>Recycled Water Infrastructure</t>
  </si>
  <si>
    <t>Industrial reclaimed water programs operational</t>
  </si>
  <si>
    <t>Yes/No</t>
  </si>
  <si>
    <t>No</t>
  </si>
  <si>
    <t>Yes</t>
  </si>
  <si>
    <t>Cooling Degree Days (1991-2020)</t>
  </si>
  <si>
    <t>Annual cooling demand indicator (base 65°F)</t>
  </si>
  <si>
    <t>CDD</t>
  </si>
  <si>
    <t>Annual Mean Relative Humidity</t>
  </si>
  <si>
    <t>Average RH affects evaporative cooling efficiency</t>
  </si>
  <si>
    <t>%</t>
  </si>
  <si>
    <t>https://www.ncei.noaa.gov/products/land-based-station/comparative-climatic-data</t>
  </si>
  <si>
    <t>https://www.epa.gov/egrid (FL: 786.6 lb/MWh)</t>
  </si>
  <si>
    <t>Renewable Energy Mix</t>
  </si>
  <si>
    <t>State renewable generation percentage (wind+solar+hydro)</t>
  </si>
  <si>
    <t>https://www.epa.gov/egrid (OK: 41.6% wind+solar+hydro)</t>
  </si>
  <si>
    <t>https://www.epa.gov/egrid (MA: 18.7% wind+solar+hydro)</t>
  </si>
  <si>
    <t>https://www.epa.gov/egrid (CO: 34.5% wind+solar+hydro)</t>
  </si>
  <si>
    <t>https://www.epa.gov/egrid (TX: 26.1% wind+solar+hydro)</t>
  </si>
  <si>
    <t>https://www.epa.gov/egrid (FL: 6.7% wind+solar+hydro)</t>
  </si>
  <si>
    <t>Industrial Electricity Rate (2024)</t>
  </si>
  <si>
    <t>Average industrial electric rate (EIA official data)</t>
  </si>
  <si>
    <t>¢/kWh</t>
  </si>
  <si>
    <t>https://www.eia.gov/electricity/sales_revenue_price/ (OK: 5.84¢/kWh)</t>
  </si>
  <si>
    <t>https://www.eia.gov/electricity/sales_revenue_price/ (MA: 18.19¢/kWh)</t>
  </si>
  <si>
    <t>https://www.eia.gov/electricity/sales_revenue_price/ (CO: 8.62¢/kWh)</t>
  </si>
  <si>
    <t>https://www.eia.gov/electricity/sales_revenue_price/ (TX: 6.12¢/kWh)</t>
  </si>
  <si>
    <t>https://www.eia.gov/electricity/sales_revenue_price/ (FL: 8.50¢/kWh)</t>
  </si>
  <si>
    <t>Water &amp; Sewer Cost (Industrial)</t>
  </si>
  <si>
    <t>Combined water/sewer cost for large users</t>
  </si>
  <si>
    <t>$/1000gal</t>
  </si>
  <si>
    <t>Environmental Justice Index</t>
  </si>
  <si>
    <t>EPA EJScreen regional environmental burden percentile</t>
  </si>
  <si>
    <t>Percentile</t>
  </si>
  <si>
    <t>Seismic Hazard (USGS 2023)</t>
  </si>
  <si>
    <t>Medium</t>
  </si>
  <si>
    <t>Flood Risk Zone</t>
  </si>
  <si>
    <t>FEMA 100-year floodplain exposure assessment</t>
  </si>
  <si>
    <t>Risk Level</t>
  </si>
  <si>
    <t>Moderate</t>
  </si>
  <si>
    <t>Tornado Frequency (Annual Avg)</t>
  </si>
  <si>
    <t>State annual average tornado count (historical)</t>
  </si>
  <si>
    <t>events/yr</t>
  </si>
  <si>
    <t>Wildfire Hazard</t>
  </si>
  <si>
    <t>State wildfire risk classification</t>
  </si>
  <si>
    <t>Winter Weather Disruption</t>
  </si>
  <si>
    <t>Annual days with snow/ice infrastructure impact</t>
  </si>
  <si>
    <t>Protected Area Proximity</t>
  </si>
  <si>
    <t>Distance to nearest NPS/critical habitat</t>
  </si>
  <si>
    <t>miles</t>
  </si>
  <si>
    <t>https://www.nps.gov/state/ok/index.htm</t>
  </si>
  <si>
    <t>https://www.nps.gov/state/ma/index.htm</t>
  </si>
  <si>
    <t>https://www.nps.gov/state/co/index.htm</t>
  </si>
  <si>
    <t>https://www.nps.gov/state/tx/index.htm</t>
  </si>
  <si>
    <t>https://www.nps.gov/state/fl/index.htm</t>
  </si>
  <si>
    <t>Notes</t>
  </si>
  <si>
    <t>low</t>
  </si>
  <si>
    <t>low-medium</t>
  </si>
  <si>
    <t>medium</t>
  </si>
  <si>
    <t>medium-high</t>
  </si>
  <si>
    <t>high</t>
  </si>
  <si>
    <t>dryest</t>
  </si>
  <si>
    <t>wettest</t>
  </si>
  <si>
    <t>https://oklahoma.gov/content/dam/ok/en/owrb/documents/water-planning/technical-reports/owrap-fact-sheet.pdf#:~:text=The%20overarching%20goal%20of%20the%20OWRAP%20is,water%20users%20(municipal%2C%20agricultural%2C%20industrial%2C%20and%20others).</t>
  </si>
  <si>
    <t>https://www.mass.gov/info-details/wastewater-reclaimed-water</t>
  </si>
  <si>
    <t>https://cwcb.colorado.gov/focus-areas/supply/water-reuse</t>
  </si>
  <si>
    <t>https://www.twdb.texas.gov/innovativewater/reuse/index.asp</t>
  </si>
  <si>
    <t>https://floridadep.gov/water/domestic-wastewater/content/water-reuse-program</t>
  </si>
  <si>
    <t>lowest</t>
  </si>
  <si>
    <t>highest</t>
  </si>
  <si>
    <t>Used the annual values at the end of the text file table. Used the higher value, usually in the morning. Not all values are from the same date range.</t>
  </si>
  <si>
    <t>Carbon Regulations</t>
  </si>
  <si>
    <t>high/med/low</t>
  </si>
  <si>
    <t>https://oklahoma.gov/deq/divisions/air-quality/rules-planning.html</t>
  </si>
  <si>
    <t>https://www.boston.gov/departments/environment/berdo</t>
  </si>
  <si>
    <t>medium-low</t>
  </si>
  <si>
    <t>https://www.denvergov.org/Government/Agencies-Departments-Offices/Agencies-Departments-Offices-Directory/Climate-Action-Sustainability-and-Resiliency/Cutting-Denvers-Carbon-Pollution/Efficient-Buildings-and-Homes/Denver-Building-Regulations</t>
  </si>
  <si>
    <t>https://www.houstontx.gov/policies/adminpolicies/3-40.pdf</t>
  </si>
  <si>
    <t>Using Summary Table T5.c pdf</t>
  </si>
  <si>
    <t>https://www.okc.gov/Services/Water-Trash-Recycling/Pay-Bill/Utilities-Rates-Fees</t>
  </si>
  <si>
    <t>https://www.bwsc.org/business-customers/rates</t>
  </si>
  <si>
    <t>https://www.denverwater.org/business/billing-and-rates/2026-rates</t>
  </si>
  <si>
    <t>https://www.houstonsecured.org/docs/2023_APRIL_WATER_RATES.pdf</t>
  </si>
  <si>
    <t>https://www.gainesville.org/DocumentCenter/View/14947/03-2026-Rate-Brochure</t>
  </si>
  <si>
    <t>C</t>
  </si>
  <si>
    <t>A</t>
  </si>
  <si>
    <t>B</t>
  </si>
  <si>
    <t>Seismic Design Category (A is low F is high)</t>
  </si>
  <si>
    <t>D</t>
  </si>
  <si>
    <t>E &amp; F</t>
  </si>
  <si>
    <t>Medium-high</t>
  </si>
  <si>
    <t xml:space="preserve">Medium </t>
  </si>
  <si>
    <t>https://www.tornadopath.com/colorado/denver</t>
  </si>
  <si>
    <t>https://www.tornadopath.com/texas/houston</t>
  </si>
  <si>
    <t>https://www.tornadopath.com/florida/alachua</t>
  </si>
  <si>
    <t>https://firedanger.cr.usgs.gov/viewer/index.html</t>
  </si>
  <si>
    <t>Drought Years</t>
  </si>
  <si>
    <t>Climate &amp; Operation Physics</t>
  </si>
  <si>
    <t>Drought Probability</t>
  </si>
  <si>
    <t xml:space="preserve">Probability a city will be impacted by drought. </t>
  </si>
  <si>
    <t>https://www.cpc.ncep.noaa.gov/products/expert_assessment/sdo_summary.php#:~:text=Despite%20an%20increasingly%20wet%20time,forecast%20to%20remain%20drought%2Dfree.</t>
  </si>
  <si>
    <t>https://www.tornadopath.com/massachusetts</t>
  </si>
  <si>
    <t xml:space="preserve">Aqueduct tool created by the WRI, helps quantify overall water risk. </t>
  </si>
  <si>
    <t xml:space="preserve">Used quick access tool for each city. Used 30-yr average (1991-2020) to get best average data. Did not use seasonal data. If multiple stations were available, the one used is marked in a note. Snow precipitation was included when available. </t>
  </si>
  <si>
    <t>City reclaimed water programs, when available. Simple yes or no to if the program exists. Developer must do further research if interested in this parameter.</t>
  </si>
  <si>
    <t xml:space="preserve">Same tool from precipitation is linked. CDD is calculated as the difference between the temp (above 65) and 65. Used average temperatures taken from the website listed. </t>
  </si>
  <si>
    <t>State regulations on carbon emissions</t>
  </si>
  <si>
    <t>Linked each states carbon emission regulation pages, specifically for the energy industry when available. Ranked on how strict the regualations were compared to the standard EPA regulations.</t>
  </si>
  <si>
    <t>Adding wind, solar, and hydro, biomass, and geothermal fuels to show total renewable energy. Coming from egrit map, resource mix for total generation, for all fuels at the state level, 2023. Using percentage of state resources, not US resources.</t>
  </si>
  <si>
    <t>City specific data, notes for what was used are in each city's cell.</t>
  </si>
  <si>
    <t>https://pedp-ejscreen.azurewebsites.net/</t>
  </si>
  <si>
    <t>Copy of the original Environmental Justice Tool developed by the EPA, taken down in April 2025. Used the Demographic Index Map (avg of lowincome and POC). Looked for an average in the specified cities.</t>
  </si>
  <si>
    <t>https://www.floodsmart.gov/flood-zones-and-maps/what-is-my-flood-risk</t>
  </si>
  <si>
    <t>Used FEMA Flood Zones and Maps. Based on the value given by flood risk level in area. Zip code used is marked in cell. Generally the zip code for largest industrial area or center of city.</t>
  </si>
  <si>
    <t>https://www.weather.gov/oun/tornadodata-ok-monthlyannual</t>
  </si>
  <si>
    <t>Usually an average over the last 30 years. Most cities were zero with a few years having one or two. Those cities are marked with one.</t>
  </si>
  <si>
    <t>https://gis.asce.org/beta-7-22/</t>
  </si>
  <si>
    <t xml:space="preserve">Tool developed by ASCE. Used ASCE/SEI 7-22, Risk Category IV and the default soil class. The Design categories for seismic activity were used. </t>
  </si>
  <si>
    <t>Used the fire forcast map.</t>
  </si>
  <si>
    <t>https://osdh-statewide-risk-assessment-osdh.hub.arcgis.com/pages/winter-storm</t>
  </si>
  <si>
    <t>https://forecast.weather.gov/product.php?site=BOX&amp;product=CLA&amp;issuedby=BOS</t>
  </si>
  <si>
    <t>https://forecast.weather.gov/product.php?site=BOU&amp;product=CLA&amp;issuedby=DEN</t>
  </si>
  <si>
    <t>https://forecast.weather.gov/product.php?site=NWS&amp;product=CLA&amp;issuedby=HOU</t>
  </si>
  <si>
    <t>https://forecast.weather.gov/product.php?site=JAX&amp;product=CLA&amp;issuedby=JAX</t>
  </si>
  <si>
    <t>Used risk of ice impacting daily operations.</t>
  </si>
  <si>
    <t>How far the nearest critical habitat was located based on map.</t>
  </si>
  <si>
    <t>How likely drought is in each place.</t>
  </si>
  <si>
    <t>Scoring Criteria</t>
  </si>
  <si>
    <t>Code</t>
  </si>
  <si>
    <t>Name</t>
  </si>
  <si>
    <t>Scoring Criteria Description</t>
  </si>
  <si>
    <t>Miles</t>
  </si>
  <si>
    <t>Weight</t>
  </si>
  <si>
    <t>Drought</t>
  </si>
  <si>
    <t>Scenario</t>
  </si>
  <si>
    <t>best</t>
  </si>
  <si>
    <t>worst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</si>
</sst>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rgb="FFFFFFFF"/>
      <name val="Calibri"/>
      <family val="2"/>
    </font>
    <font>
      <b/>
      <sz val="11"/>
      <name val="Calibri"/>
      <family val="2"/>
    </font>
    <font>
      <sz val="9"/>
      <color indexed="81"/>
      <name val="Tahoma"/>
      <family val="2"/>
    </font>
    <font>
      <b/>
      <sz val="9"/>
      <color indexed="81"/>
      <name val="Tahoma"/>
      <family val="2"/>
    </font>
    <font>
      <b/>
      <sz val="11"/>
      <name val="Calibri"/>
      <family val="2"/>
    </font>
    <font>
      <u/>
      <sz val="11"/>
      <color theme="10"/>
      <name val="Calibri"/>
      <family val="2"/>
      <scheme val="minor"/>
    </font>
    <font>
      <sz val="11"/>
      <name val="Calibri"/>
      <family val="2"/>
      <scheme val="minor"/>
    </font>
  </fonts>
  <fills count="6">
    <fill>
      <patternFill patternType="none"/>
    </fill>
    <fill>
      <patternFill patternType="gray125"/>
    </fill>
    <fill>
      <patternFill patternType="solid">
        <fgColor rgb="FF366092"/>
        <bgColor rgb="FF366092"/>
      </patternFill>
    </fill>
    <fill>
      <patternFill patternType="solid">
        <fgColor rgb="FFD9E1F2"/>
        <bgColor rgb="FFD9E1F2"/>
      </patternFill>
    </fill>
    <fill>
      <patternFill patternType="solid">
        <fgColor theme="4" tint="0.79998168889431442"/>
        <bgColor indexed="64"/>
      </patternFill>
    </fill>
    <fill>
      <patternFill patternType="solid">
        <fgColor rgb="FF92D050"/>
        <bgColor indexed="64"/>
      </patternFill>
    </fill>
  </fills>
  <borders count="28">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medium">
        <color indexed="64"/>
      </bottom>
      <diagonal/>
    </border>
    <border>
      <left style="thin">
        <color auto="1"/>
      </left>
      <right/>
      <top/>
      <bottom style="medium">
        <color indexed="64"/>
      </bottom>
      <diagonal/>
    </border>
    <border>
      <left/>
      <right/>
      <top/>
      <bottom style="medium">
        <color indexed="64"/>
      </bottom>
      <diagonal/>
    </border>
    <border>
      <left style="thin">
        <color auto="1"/>
      </left>
      <right/>
      <top style="medium">
        <color indexed="64"/>
      </top>
      <bottom/>
      <diagonal/>
    </border>
    <border>
      <left style="thin">
        <color auto="1"/>
      </left>
      <right style="thin">
        <color indexed="64"/>
      </right>
      <top/>
      <bottom style="medium">
        <color indexed="64"/>
      </bottom>
      <diagonal/>
    </border>
    <border>
      <left style="thin">
        <color auto="1"/>
      </left>
      <right style="thin">
        <color indexed="64"/>
      </right>
      <top/>
      <bottom/>
      <diagonal/>
    </border>
    <border>
      <left style="thin">
        <color auto="1"/>
      </left>
      <right style="thin">
        <color indexed="64"/>
      </right>
      <top style="medium">
        <color indexed="64"/>
      </top>
      <bottom/>
      <diagonal/>
    </border>
    <border>
      <left/>
      <right style="thin">
        <color indexed="64"/>
      </right>
      <top/>
      <bottom/>
      <diagonal/>
    </border>
    <border>
      <left/>
      <right style="thin">
        <color indexed="64"/>
      </right>
      <top/>
      <bottom style="medium">
        <color indexed="64"/>
      </bottom>
      <diagonal/>
    </border>
    <border>
      <left/>
      <right/>
      <top style="medium">
        <color indexed="64"/>
      </top>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auto="1"/>
      </left>
      <right/>
      <top style="thin">
        <color auto="1"/>
      </top>
      <bottom style="medium">
        <color indexed="64"/>
      </bottom>
      <diagonal/>
    </border>
    <border>
      <left/>
      <right style="thin">
        <color auto="1"/>
      </right>
      <top style="medium">
        <color indexed="64"/>
      </top>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diagonal/>
    </border>
    <border>
      <left/>
      <right/>
      <top/>
      <bottom style="thin">
        <color indexed="64"/>
      </bottom>
      <diagonal/>
    </border>
  </borders>
  <cellStyleXfs count="2">
    <xf numFmtId="0" fontId="0" fillId="0" borderId="0"/>
    <xf numFmtId="0" fontId="6" fillId="0" borderId="0" applyNumberFormat="0" applyFill="0" applyBorder="0" applyAlignment="0" applyProtection="0"/>
  </cellStyleXfs>
  <cellXfs count="79">
    <xf numFmtId="0" fontId="0" fillId="0" borderId="0" xfId="0"/>
    <xf numFmtId="0" fontId="1" fillId="2" borderId="0" xfId="0" applyFont="1" applyFill="1"/>
    <xf numFmtId="0" fontId="1" fillId="2" borderId="0" xfId="0" applyFont="1" applyFill="1" applyAlignment="1">
      <alignment wrapText="1"/>
    </xf>
    <xf numFmtId="0" fontId="0" fillId="0" borderId="0" xfId="0" applyAlignment="1">
      <alignment wrapText="1"/>
    </xf>
    <xf numFmtId="0" fontId="0" fillId="0" borderId="6" xfId="0" applyBorder="1" applyAlignment="1">
      <alignment wrapText="1"/>
    </xf>
    <xf numFmtId="0" fontId="0" fillId="0" borderId="6" xfId="0" applyBorder="1"/>
    <xf numFmtId="0" fontId="2" fillId="3"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3" xfId="0" applyBorder="1" applyAlignment="1">
      <alignment horizontal="center" vertical="center" wrapText="1"/>
    </xf>
    <xf numFmtId="0" fontId="2" fillId="3" borderId="2" xfId="0" applyFont="1" applyFill="1" applyBorder="1" applyAlignment="1">
      <alignment horizontal="center" wrapText="1"/>
    </xf>
    <xf numFmtId="0" fontId="0" fillId="0" borderId="2" xfId="0"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2" fillId="0" borderId="0" xfId="0" applyFont="1"/>
    <xf numFmtId="0" fontId="0" fillId="0" borderId="14" xfId="0" applyBorder="1" applyAlignment="1">
      <alignment horizontal="center" vertical="center" wrapText="1"/>
    </xf>
    <xf numFmtId="0" fontId="0" fillId="0" borderId="9" xfId="0" applyBorder="1" applyAlignment="1">
      <alignment horizontal="left" vertical="center" wrapText="1"/>
    </xf>
    <xf numFmtId="0" fontId="0" fillId="0" borderId="8" xfId="0" applyBorder="1" applyAlignment="1">
      <alignment horizontal="left" vertical="center" wrapText="1"/>
    </xf>
    <xf numFmtId="0" fontId="0" fillId="0" borderId="15" xfId="0" applyBorder="1" applyAlignment="1">
      <alignment horizontal="center" vertical="center" wrapText="1"/>
    </xf>
    <xf numFmtId="0" fontId="0" fillId="0" borderId="16" xfId="0" applyBorder="1"/>
    <xf numFmtId="0" fontId="0" fillId="0" borderId="13" xfId="0" applyBorder="1"/>
    <xf numFmtId="0" fontId="0" fillId="0" borderId="13" xfId="0" applyBorder="1" applyAlignment="1">
      <alignment vertical="center" wrapText="1"/>
    </xf>
    <xf numFmtId="0" fontId="0" fillId="0" borderId="13" xfId="0" applyBorder="1" applyAlignment="1">
      <alignment wrapText="1"/>
    </xf>
    <xf numFmtId="0" fontId="0" fillId="0" borderId="7" xfId="0" applyBorder="1" applyAlignment="1">
      <alignment horizontal="center"/>
    </xf>
    <xf numFmtId="0" fontId="0" fillId="0" borderId="17" xfId="0" applyBorder="1"/>
    <xf numFmtId="0" fontId="0" fillId="0" borderId="18" xfId="0" applyBorder="1"/>
    <xf numFmtId="0" fontId="0" fillId="0" borderId="0" xfId="0" applyAlignment="1">
      <alignment vertical="center" wrapText="1"/>
    </xf>
    <xf numFmtId="0" fontId="0" fillId="0" borderId="19" xfId="0" applyBorder="1"/>
    <xf numFmtId="0" fontId="0" fillId="0" borderId="20" xfId="0" applyBorder="1"/>
    <xf numFmtId="0" fontId="0" fillId="0" borderId="6" xfId="0" applyBorder="1" applyAlignment="1">
      <alignment vertical="center" wrapText="1"/>
    </xf>
    <xf numFmtId="0" fontId="0" fillId="0" borderId="21" xfId="0" applyBorder="1"/>
    <xf numFmtId="0" fontId="0" fillId="0" borderId="9" xfId="0" applyBorder="1" applyAlignment="1">
      <alignment horizontal="left" vertical="center"/>
    </xf>
    <xf numFmtId="0" fontId="0" fillId="0" borderId="8" xfId="0" applyBorder="1" applyAlignment="1">
      <alignment horizontal="left" vertical="center"/>
    </xf>
    <xf numFmtId="0" fontId="0" fillId="0" borderId="1" xfId="0" applyBorder="1" applyAlignment="1">
      <alignment horizontal="left" vertical="center" wrapText="1"/>
    </xf>
    <xf numFmtId="0" fontId="0" fillId="0" borderId="4" xfId="0" applyBorder="1" applyAlignment="1">
      <alignment horizontal="left" vertical="center" wrapText="1"/>
    </xf>
    <xf numFmtId="0" fontId="0" fillId="0" borderId="3" xfId="0" applyBorder="1" applyAlignment="1">
      <alignment horizontal="left" vertical="center" wrapText="1"/>
    </xf>
    <xf numFmtId="0" fontId="0" fillId="0" borderId="2" xfId="0" applyBorder="1" applyAlignment="1">
      <alignment horizontal="left" wrapText="1"/>
    </xf>
    <xf numFmtId="0" fontId="0" fillId="0" borderId="5" xfId="0" applyBorder="1" applyAlignment="1">
      <alignment horizontal="left" wrapText="1"/>
    </xf>
    <xf numFmtId="0" fontId="0" fillId="0" borderId="0" xfId="0" applyAlignment="1">
      <alignment horizontal="left"/>
    </xf>
    <xf numFmtId="0" fontId="0" fillId="0" borderId="8" xfId="0" applyBorder="1" applyAlignment="1">
      <alignment horizontal="left"/>
    </xf>
    <xf numFmtId="0" fontId="0" fillId="0" borderId="11" xfId="0" applyBorder="1" applyAlignment="1">
      <alignment horizontal="left" vertical="center" wrapText="1"/>
    </xf>
    <xf numFmtId="0" fontId="0" fillId="0" borderId="9" xfId="0" applyBorder="1" applyAlignment="1">
      <alignment horizontal="left" wrapText="1"/>
    </xf>
    <xf numFmtId="0" fontId="0" fillId="0" borderId="8" xfId="0" applyBorder="1" applyAlignment="1">
      <alignment horizontal="left" wrapText="1"/>
    </xf>
    <xf numFmtId="0" fontId="0" fillId="0" borderId="15" xfId="0" applyBorder="1" applyAlignment="1">
      <alignment horizontal="left" vertical="center" wrapText="1"/>
    </xf>
    <xf numFmtId="0" fontId="0" fillId="5" borderId="1" xfId="0" applyFill="1" applyBorder="1" applyAlignment="1">
      <alignment horizontal="center" vertical="center" wrapText="1"/>
    </xf>
    <xf numFmtId="0" fontId="0" fillId="5" borderId="4" xfId="0" applyFill="1" applyBorder="1" applyAlignment="1">
      <alignment horizontal="center" vertical="center" wrapText="1"/>
    </xf>
    <xf numFmtId="0" fontId="0" fillId="5" borderId="3" xfId="0" applyFill="1" applyBorder="1" applyAlignment="1">
      <alignment horizontal="center" vertical="center" wrapText="1"/>
    </xf>
    <xf numFmtId="0" fontId="0" fillId="5" borderId="22" xfId="0" applyFill="1" applyBorder="1" applyAlignment="1">
      <alignment horizontal="center" vertical="center" wrapText="1"/>
    </xf>
    <xf numFmtId="0" fontId="0" fillId="5" borderId="9" xfId="0" applyFill="1" applyBorder="1" applyAlignment="1">
      <alignment horizontal="center" vertical="center" wrapText="1"/>
    </xf>
    <xf numFmtId="0" fontId="0" fillId="5" borderId="15" xfId="0" applyFill="1" applyBorder="1" applyAlignment="1">
      <alignment horizontal="center" vertical="center" wrapText="1"/>
    </xf>
    <xf numFmtId="0" fontId="0" fillId="0" borderId="0" xfId="0" applyAlignment="1">
      <alignment horizontal="left" vertical="center"/>
    </xf>
    <xf numFmtId="0" fontId="0" fillId="0" borderId="0" xfId="0" applyAlignment="1">
      <alignment horizontal="center" vertical="center" wrapText="1"/>
    </xf>
    <xf numFmtId="0" fontId="0" fillId="0" borderId="0" xfId="0" applyAlignment="1">
      <alignment horizontal="center" vertical="center"/>
    </xf>
    <xf numFmtId="0" fontId="0" fillId="0" borderId="24" xfId="0" applyBorder="1"/>
    <xf numFmtId="0" fontId="0" fillId="0" borderId="26" xfId="0" applyBorder="1"/>
    <xf numFmtId="0" fontId="0" fillId="0" borderId="2" xfId="0" applyBorder="1"/>
    <xf numFmtId="0" fontId="0" fillId="0" borderId="25" xfId="0" applyBorder="1"/>
    <xf numFmtId="0" fontId="0" fillId="0" borderId="27" xfId="0" applyBorder="1"/>
    <xf numFmtId="0" fontId="0" fillId="0" borderId="7" xfId="0" applyBorder="1" applyAlignment="1">
      <alignment horizontal="left" vertical="center" wrapText="1"/>
    </xf>
    <xf numFmtId="0" fontId="0" fillId="0" borderId="2" xfId="0" applyBorder="1" applyAlignment="1">
      <alignment horizontal="left" vertical="center" wrapText="1"/>
    </xf>
    <xf numFmtId="0" fontId="0" fillId="0" borderId="5" xfId="0" applyBorder="1" applyAlignment="1">
      <alignment horizontal="left" vertical="center" wrapText="1"/>
    </xf>
    <xf numFmtId="0" fontId="0" fillId="4" borderId="16" xfId="0" applyFill="1" applyBorder="1" applyAlignment="1">
      <alignment horizontal="left"/>
    </xf>
    <xf numFmtId="0" fontId="0" fillId="4" borderId="13" xfId="0" applyFill="1" applyBorder="1" applyAlignment="1">
      <alignment horizontal="left"/>
    </xf>
    <xf numFmtId="0" fontId="0" fillId="4" borderId="17" xfId="0" applyFill="1" applyBorder="1" applyAlignment="1">
      <alignment horizontal="left"/>
    </xf>
    <xf numFmtId="0" fontId="0" fillId="0" borderId="10" xfId="0" applyBorder="1" applyAlignment="1">
      <alignment horizontal="left" vertical="center" wrapText="1"/>
    </xf>
    <xf numFmtId="0" fontId="0" fillId="0" borderId="9" xfId="0" applyBorder="1" applyAlignment="1">
      <alignment horizontal="left" vertical="center" wrapText="1"/>
    </xf>
    <xf numFmtId="0" fontId="0" fillId="0" borderId="8" xfId="0" applyBorder="1" applyAlignment="1">
      <alignment horizontal="left" vertical="center" wrapText="1"/>
    </xf>
    <xf numFmtId="0" fontId="0" fillId="0" borderId="23" xfId="0" applyBorder="1" applyAlignment="1">
      <alignment horizontal="left" vertical="center" wrapText="1"/>
    </xf>
    <xf numFmtId="0" fontId="0" fillId="0" borderId="11" xfId="0" applyBorder="1" applyAlignment="1">
      <alignment horizontal="left" vertical="center" wrapText="1"/>
    </xf>
    <xf numFmtId="0" fontId="0" fillId="0" borderId="12" xfId="0" applyBorder="1" applyAlignment="1">
      <alignment horizontal="left" vertical="center" wrapText="1"/>
    </xf>
    <xf numFmtId="0" fontId="5" fillId="3" borderId="2" xfId="0" applyFont="1" applyFill="1" applyBorder="1" applyAlignment="1">
      <alignment horizontal="center"/>
    </xf>
    <xf numFmtId="0" fontId="5" fillId="3" borderId="11" xfId="0" applyFont="1" applyFill="1" applyBorder="1" applyAlignment="1">
      <alignment horizontal="center"/>
    </xf>
    <xf numFmtId="0" fontId="7" fillId="0" borderId="10" xfId="1" applyFont="1" applyBorder="1" applyAlignment="1">
      <alignment horizontal="left" vertical="center" wrapText="1"/>
    </xf>
    <xf numFmtId="0" fontId="7" fillId="0" borderId="2" xfId="0" applyFont="1" applyBorder="1" applyAlignment="1">
      <alignment horizontal="left" vertical="center" wrapText="1"/>
    </xf>
    <xf numFmtId="0" fontId="7" fillId="0" borderId="5" xfId="0" applyFont="1" applyBorder="1" applyAlignment="1">
      <alignment horizontal="left" vertical="center" wrapText="1"/>
    </xf>
    <xf numFmtId="0" fontId="0" fillId="0" borderId="6" xfId="0" applyBorder="1" applyAlignment="1">
      <alignment horizontal="left" vertical="center" wrapText="1"/>
    </xf>
    <xf numFmtId="0" fontId="0" fillId="0" borderId="0" xfId="0" applyAlignment="1">
      <alignment horizontal="center" vertic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weather.gov/oun/tornadodata-ok-monthlyannual" TargetMode="External"/><Relationship Id="rId2" Type="http://schemas.openxmlformats.org/officeDocument/2006/relationships/hyperlink" Target="https://www.floodsmart.gov/flood-zones-and-maps/what-is-my-flood-risk" TargetMode="External"/><Relationship Id="rId1" Type="http://schemas.openxmlformats.org/officeDocument/2006/relationships/hyperlink" Target="https://pedp-ejscreen.azurewebsites.net/"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7D647-9982-46B5-A31B-F1093E8D0E35}">
  <dimension ref="A1:L91"/>
  <sheetViews>
    <sheetView zoomScale="95" zoomScaleNormal="115" workbookViewId="0">
      <pane ySplit="5" topLeftCell="A6" activePane="bottomLeft" state="frozen"/>
      <selection pane="bottomLeft" activeCell="G12" sqref="G12"/>
    </sheetView>
    <sheetView workbookViewId="1">
      <selection activeCell="M10" sqref="M10:M16"/>
    </sheetView>
  </sheetViews>
  <sheetFormatPr defaultRowHeight="14.4" x14ac:dyDescent="0.3"/>
  <cols>
    <col min="1" max="1" width="32" customWidth="1"/>
    <col min="2" max="2" width="38" customWidth="1"/>
    <col min="3" max="3" width="47.6640625" customWidth="1"/>
    <col min="4" max="4" width="18" customWidth="1"/>
    <col min="5" max="5" width="8" customWidth="1"/>
    <col min="6" max="6" width="12" customWidth="1"/>
    <col min="7" max="7" width="8" customWidth="1"/>
    <col min="8" max="8" width="90" hidden="1" customWidth="1"/>
    <col min="9" max="9" width="42.109375" style="3" customWidth="1"/>
    <col min="11" max="11" width="11.77734375" bestFit="1" customWidth="1"/>
    <col min="12" max="12" width="9.6640625" bestFit="1" customWidth="1"/>
  </cols>
  <sheetData>
    <row r="1" spans="1:12" x14ac:dyDescent="0.3">
      <c r="A1" s="1" t="s">
        <v>0</v>
      </c>
      <c r="B1" s="1"/>
      <c r="C1" s="1"/>
      <c r="D1" s="1"/>
      <c r="E1" s="1"/>
      <c r="F1" s="1"/>
      <c r="G1" s="1"/>
      <c r="H1" s="1" t="s">
        <v>1</v>
      </c>
      <c r="I1" s="2"/>
      <c r="J1" s="1"/>
      <c r="K1" s="1"/>
      <c r="L1" s="1"/>
    </row>
    <row r="2" spans="1:12" x14ac:dyDescent="0.3">
      <c r="A2" t="s">
        <v>2</v>
      </c>
      <c r="B2" t="s">
        <v>3</v>
      </c>
      <c r="C2" t="s">
        <v>4</v>
      </c>
      <c r="D2" t="s">
        <v>5</v>
      </c>
      <c r="E2" t="s">
        <v>6</v>
      </c>
      <c r="H2" t="s">
        <v>7</v>
      </c>
      <c r="I2" s="3" t="s">
        <v>8</v>
      </c>
      <c r="J2" t="s">
        <v>9</v>
      </c>
      <c r="K2" t="s">
        <v>10</v>
      </c>
      <c r="L2" t="s">
        <v>11</v>
      </c>
    </row>
    <row r="3" spans="1:12" x14ac:dyDescent="0.3">
      <c r="A3">
        <v>0.25</v>
      </c>
      <c r="B3">
        <v>0.3</v>
      </c>
      <c r="C3">
        <v>0.15</v>
      </c>
      <c r="D3">
        <v>0.2</v>
      </c>
      <c r="E3">
        <v>0.1</v>
      </c>
      <c r="H3" t="s">
        <v>12</v>
      </c>
      <c r="I3" s="3" t="s">
        <v>13</v>
      </c>
      <c r="J3" t="s">
        <v>14</v>
      </c>
      <c r="K3" t="s">
        <v>15</v>
      </c>
      <c r="L3" t="s">
        <v>16</v>
      </c>
    </row>
    <row r="5" spans="1:12" x14ac:dyDescent="0.3">
      <c r="A5" s="6" t="s">
        <v>17</v>
      </c>
      <c r="B5" s="6" t="s">
        <v>18</v>
      </c>
      <c r="C5" s="6" t="s">
        <v>19</v>
      </c>
      <c r="D5" s="6" t="s">
        <v>20</v>
      </c>
      <c r="E5" s="6" t="s">
        <v>21</v>
      </c>
      <c r="F5" s="6" t="s">
        <v>22</v>
      </c>
      <c r="G5" s="6" t="s">
        <v>23</v>
      </c>
      <c r="H5" s="6" t="s">
        <v>24</v>
      </c>
      <c r="I5" s="11" t="s">
        <v>91</v>
      </c>
      <c r="J5" s="72" t="s">
        <v>163</v>
      </c>
      <c r="K5" s="73"/>
      <c r="L5" s="16"/>
    </row>
    <row r="6" spans="1:12" ht="30.6" customHeight="1" x14ac:dyDescent="0.3">
      <c r="A6" s="7" t="s">
        <v>2</v>
      </c>
      <c r="B6" s="7" t="s">
        <v>25</v>
      </c>
      <c r="C6" s="7" t="s">
        <v>26</v>
      </c>
      <c r="D6" s="7" t="s">
        <v>27</v>
      </c>
      <c r="E6" s="7">
        <v>1</v>
      </c>
      <c r="F6" s="7" t="s">
        <v>30</v>
      </c>
      <c r="G6" s="46">
        <v>4</v>
      </c>
      <c r="H6" s="35" t="s">
        <v>29</v>
      </c>
      <c r="I6" s="61" t="s">
        <v>138</v>
      </c>
      <c r="J6" s="12">
        <v>5</v>
      </c>
      <c r="K6" s="14" t="s">
        <v>92</v>
      </c>
    </row>
    <row r="7" spans="1:12" x14ac:dyDescent="0.3">
      <c r="A7" s="7"/>
      <c r="B7" s="7"/>
      <c r="C7" s="7"/>
      <c r="D7" s="7"/>
      <c r="E7" s="7">
        <v>2</v>
      </c>
      <c r="F7" s="7" t="s">
        <v>30</v>
      </c>
      <c r="G7" s="46">
        <v>4</v>
      </c>
      <c r="H7" s="35" t="s">
        <v>29</v>
      </c>
      <c r="I7" s="61"/>
      <c r="J7" s="12">
        <v>4</v>
      </c>
      <c r="K7" s="14" t="s">
        <v>93</v>
      </c>
    </row>
    <row r="8" spans="1:12" x14ac:dyDescent="0.3">
      <c r="A8" s="7"/>
      <c r="B8" s="7"/>
      <c r="C8" s="7"/>
      <c r="D8" s="7"/>
      <c r="E8" s="7">
        <v>3</v>
      </c>
      <c r="F8" s="7" t="s">
        <v>28</v>
      </c>
      <c r="G8" s="46">
        <v>1</v>
      </c>
      <c r="H8" s="35" t="s">
        <v>29</v>
      </c>
      <c r="I8" s="61"/>
      <c r="J8" s="12">
        <v>3</v>
      </c>
      <c r="K8" s="14" t="s">
        <v>94</v>
      </c>
    </row>
    <row r="9" spans="1:12" x14ac:dyDescent="0.3">
      <c r="A9" s="7"/>
      <c r="B9" s="7"/>
      <c r="C9" s="7"/>
      <c r="D9" s="7"/>
      <c r="E9" s="7">
        <v>4</v>
      </c>
      <c r="F9" s="7" t="s">
        <v>30</v>
      </c>
      <c r="G9" s="46">
        <v>4</v>
      </c>
      <c r="H9" s="35" t="s">
        <v>29</v>
      </c>
      <c r="I9" s="61"/>
      <c r="J9" s="12">
        <v>2</v>
      </c>
      <c r="K9" s="14" t="s">
        <v>95</v>
      </c>
    </row>
    <row r="10" spans="1:12" ht="15" thickBot="1" x14ac:dyDescent="0.35">
      <c r="A10" s="9"/>
      <c r="B10" s="9"/>
      <c r="C10" s="9"/>
      <c r="D10" s="9"/>
      <c r="E10" s="9">
        <v>5</v>
      </c>
      <c r="F10" s="9" t="s">
        <v>71</v>
      </c>
      <c r="G10" s="47">
        <v>3</v>
      </c>
      <c r="H10" s="36" t="s">
        <v>29</v>
      </c>
      <c r="I10" s="62"/>
      <c r="J10" s="13">
        <v>1</v>
      </c>
      <c r="K10" s="15" t="s">
        <v>96</v>
      </c>
    </row>
    <row r="11" spans="1:12" x14ac:dyDescent="0.3">
      <c r="A11" s="10" t="s">
        <v>2</v>
      </c>
      <c r="B11" s="10" t="s">
        <v>32</v>
      </c>
      <c r="C11" s="10" t="s">
        <v>33</v>
      </c>
      <c r="D11" s="10" t="s">
        <v>34</v>
      </c>
      <c r="E11" s="10">
        <v>1</v>
      </c>
      <c r="F11" s="10">
        <v>36.950000000000003</v>
      </c>
      <c r="G11" s="48">
        <v>1</v>
      </c>
      <c r="H11" s="37" t="s">
        <v>35</v>
      </c>
      <c r="I11" s="60" t="s">
        <v>139</v>
      </c>
      <c r="J11" s="12">
        <v>5</v>
      </c>
      <c r="K11" s="14" t="s">
        <v>98</v>
      </c>
    </row>
    <row r="12" spans="1:12" x14ac:dyDescent="0.3">
      <c r="A12" s="7"/>
      <c r="B12" s="7"/>
      <c r="C12" s="7"/>
      <c r="D12" s="7"/>
      <c r="E12" s="7">
        <v>2</v>
      </c>
      <c r="F12" s="8">
        <v>92.79</v>
      </c>
      <c r="G12" s="46">
        <v>5</v>
      </c>
      <c r="H12" s="35" t="s">
        <v>35</v>
      </c>
      <c r="I12" s="61"/>
      <c r="J12" s="12">
        <v>4</v>
      </c>
      <c r="K12" s="14"/>
    </row>
    <row r="13" spans="1:12" x14ac:dyDescent="0.3">
      <c r="A13" s="7"/>
      <c r="B13" s="7"/>
      <c r="C13" s="7"/>
      <c r="D13" s="7"/>
      <c r="E13" s="7">
        <v>3</v>
      </c>
      <c r="F13" s="7">
        <v>56.55</v>
      </c>
      <c r="G13" s="46">
        <v>4</v>
      </c>
      <c r="H13" s="35" t="s">
        <v>35</v>
      </c>
      <c r="I13" s="61"/>
      <c r="J13" s="12">
        <v>3</v>
      </c>
      <c r="K13" s="14"/>
    </row>
    <row r="14" spans="1:12" x14ac:dyDescent="0.3">
      <c r="A14" s="7"/>
      <c r="B14" s="7"/>
      <c r="C14" s="7"/>
      <c r="D14" s="7"/>
      <c r="E14" s="7">
        <v>4</v>
      </c>
      <c r="F14" s="7">
        <v>54.12</v>
      </c>
      <c r="G14" s="46">
        <v>3</v>
      </c>
      <c r="H14" s="35" t="s">
        <v>35</v>
      </c>
      <c r="I14" s="61"/>
      <c r="J14" s="12">
        <v>2</v>
      </c>
      <c r="K14" s="14"/>
    </row>
    <row r="15" spans="1:12" ht="17.399999999999999" customHeight="1" thickBot="1" x14ac:dyDescent="0.35">
      <c r="A15" s="9"/>
      <c r="B15" s="9"/>
      <c r="C15" s="9"/>
      <c r="D15" s="9"/>
      <c r="E15" s="9">
        <v>5</v>
      </c>
      <c r="F15" s="9">
        <v>48.31</v>
      </c>
      <c r="G15" s="47">
        <v>2</v>
      </c>
      <c r="H15" s="36" t="s">
        <v>35</v>
      </c>
      <c r="I15" s="62"/>
      <c r="J15" s="13">
        <v>1</v>
      </c>
      <c r="K15" s="15" t="s">
        <v>97</v>
      </c>
    </row>
    <row r="16" spans="1:12" ht="46.2" customHeight="1" x14ac:dyDescent="0.3">
      <c r="A16" s="10" t="s">
        <v>2</v>
      </c>
      <c r="B16" s="10" t="s">
        <v>36</v>
      </c>
      <c r="C16" s="10" t="s">
        <v>37</v>
      </c>
      <c r="D16" s="10" t="s">
        <v>38</v>
      </c>
      <c r="E16" s="10">
        <v>1</v>
      </c>
      <c r="F16" s="10" t="s">
        <v>40</v>
      </c>
      <c r="G16" s="48">
        <v>5</v>
      </c>
      <c r="H16" s="38" t="s">
        <v>99</v>
      </c>
      <c r="I16" s="66" t="s">
        <v>140</v>
      </c>
      <c r="J16" s="12">
        <v>5</v>
      </c>
      <c r="K16" s="14" t="s">
        <v>40</v>
      </c>
    </row>
    <row r="17" spans="1:11" x14ac:dyDescent="0.3">
      <c r="A17" s="7"/>
      <c r="B17" s="7"/>
      <c r="C17" s="7"/>
      <c r="D17" s="7"/>
      <c r="E17" s="7">
        <v>2</v>
      </c>
      <c r="F17" s="7" t="s">
        <v>40</v>
      </c>
      <c r="G17" s="46">
        <v>5</v>
      </c>
      <c r="H17" s="38" t="s">
        <v>100</v>
      </c>
      <c r="I17" s="67"/>
      <c r="J17" s="12">
        <v>1</v>
      </c>
      <c r="K17" s="14" t="s">
        <v>39</v>
      </c>
    </row>
    <row r="18" spans="1:11" x14ac:dyDescent="0.3">
      <c r="A18" s="7"/>
      <c r="B18" s="7"/>
      <c r="C18" s="7"/>
      <c r="D18" s="7"/>
      <c r="E18" s="7">
        <v>3</v>
      </c>
      <c r="F18" s="7" t="s">
        <v>40</v>
      </c>
      <c r="G18" s="46">
        <v>5</v>
      </c>
      <c r="H18" s="38" t="s">
        <v>101</v>
      </c>
      <c r="I18" s="67"/>
      <c r="J18" s="12"/>
      <c r="K18" s="14"/>
    </row>
    <row r="19" spans="1:11" x14ac:dyDescent="0.3">
      <c r="A19" s="7"/>
      <c r="B19" s="7"/>
      <c r="C19" s="7"/>
      <c r="D19" s="7"/>
      <c r="E19" s="7">
        <v>4</v>
      </c>
      <c r="F19" s="7" t="s">
        <v>40</v>
      </c>
      <c r="G19" s="46">
        <v>5</v>
      </c>
      <c r="H19" s="38" t="s">
        <v>102</v>
      </c>
      <c r="I19" s="67"/>
      <c r="J19" s="12"/>
      <c r="K19" s="14"/>
    </row>
    <row r="20" spans="1:11" ht="15" thickBot="1" x14ac:dyDescent="0.35">
      <c r="A20" s="9"/>
      <c r="B20" s="9"/>
      <c r="C20" s="9"/>
      <c r="D20" s="9"/>
      <c r="E20" s="9">
        <v>5</v>
      </c>
      <c r="F20" s="9" t="s">
        <v>40</v>
      </c>
      <c r="G20" s="47">
        <v>5</v>
      </c>
      <c r="H20" s="39" t="s">
        <v>103</v>
      </c>
      <c r="I20" s="68"/>
      <c r="J20" s="13"/>
      <c r="K20" s="15"/>
    </row>
    <row r="21" spans="1:11" x14ac:dyDescent="0.3">
      <c r="A21" s="10" t="s">
        <v>3</v>
      </c>
      <c r="B21" s="10" t="s">
        <v>41</v>
      </c>
      <c r="C21" s="10" t="s">
        <v>42</v>
      </c>
      <c r="D21" s="10" t="s">
        <v>43</v>
      </c>
      <c r="E21" s="10">
        <v>1</v>
      </c>
      <c r="F21" s="10">
        <v>1975</v>
      </c>
      <c r="G21" s="48">
        <v>3</v>
      </c>
      <c r="H21" s="37" t="s">
        <v>35</v>
      </c>
      <c r="I21" s="60" t="s">
        <v>141</v>
      </c>
      <c r="J21" s="12">
        <v>5</v>
      </c>
      <c r="K21" s="14" t="s">
        <v>104</v>
      </c>
    </row>
    <row r="22" spans="1:11" x14ac:dyDescent="0.3">
      <c r="A22" s="7"/>
      <c r="B22" s="7"/>
      <c r="C22" s="7"/>
      <c r="D22" s="7"/>
      <c r="E22" s="7">
        <v>2</v>
      </c>
      <c r="F22" s="7">
        <v>665</v>
      </c>
      <c r="G22" s="46">
        <v>5</v>
      </c>
      <c r="H22" s="35" t="s">
        <v>35</v>
      </c>
      <c r="I22" s="61"/>
      <c r="J22" s="12">
        <v>4</v>
      </c>
      <c r="K22" s="14"/>
    </row>
    <row r="23" spans="1:11" x14ac:dyDescent="0.3">
      <c r="A23" s="7"/>
      <c r="B23" s="7"/>
      <c r="C23" s="7"/>
      <c r="D23" s="7"/>
      <c r="E23" s="7">
        <v>3</v>
      </c>
      <c r="F23" s="7">
        <v>698</v>
      </c>
      <c r="G23" s="46">
        <v>4</v>
      </c>
      <c r="H23" s="35" t="s">
        <v>35</v>
      </c>
      <c r="I23" s="61"/>
      <c r="J23" s="12">
        <v>3</v>
      </c>
      <c r="K23" s="14"/>
    </row>
    <row r="24" spans="1:11" ht="19.2" customHeight="1" x14ac:dyDescent="0.3">
      <c r="A24" s="7"/>
      <c r="B24" s="7"/>
      <c r="C24" s="7"/>
      <c r="D24" s="7"/>
      <c r="E24" s="7">
        <v>4</v>
      </c>
      <c r="F24" s="7">
        <v>3042</v>
      </c>
      <c r="G24" s="46">
        <v>1</v>
      </c>
      <c r="H24" s="35" t="s">
        <v>35</v>
      </c>
      <c r="I24" s="61"/>
      <c r="J24" s="12">
        <v>2</v>
      </c>
      <c r="K24" s="14"/>
    </row>
    <row r="25" spans="1:11" ht="21" customHeight="1" thickBot="1" x14ac:dyDescent="0.35">
      <c r="A25" s="9"/>
      <c r="B25" s="9"/>
      <c r="C25" s="9"/>
      <c r="D25" s="9"/>
      <c r="E25" s="9">
        <v>5</v>
      </c>
      <c r="F25" s="9">
        <v>2486</v>
      </c>
      <c r="G25" s="47">
        <v>2</v>
      </c>
      <c r="H25" s="36" t="s">
        <v>35</v>
      </c>
      <c r="I25" s="62"/>
      <c r="J25" s="13">
        <v>1</v>
      </c>
      <c r="K25" s="15" t="s">
        <v>105</v>
      </c>
    </row>
    <row r="26" spans="1:11" x14ac:dyDescent="0.3">
      <c r="A26" s="10" t="s">
        <v>3</v>
      </c>
      <c r="B26" s="10" t="s">
        <v>44</v>
      </c>
      <c r="C26" s="10" t="s">
        <v>45</v>
      </c>
      <c r="D26" s="10" t="s">
        <v>46</v>
      </c>
      <c r="E26" s="10">
        <v>1</v>
      </c>
      <c r="F26" s="10">
        <v>80</v>
      </c>
      <c r="G26" s="48">
        <v>3</v>
      </c>
      <c r="H26" s="37" t="s">
        <v>47</v>
      </c>
      <c r="I26" s="60" t="s">
        <v>106</v>
      </c>
      <c r="J26" s="12">
        <v>5</v>
      </c>
      <c r="K26" s="14" t="s">
        <v>104</v>
      </c>
    </row>
    <row r="27" spans="1:11" x14ac:dyDescent="0.3">
      <c r="A27" s="7"/>
      <c r="B27" s="7"/>
      <c r="C27" s="7"/>
      <c r="D27" s="7"/>
      <c r="E27" s="7">
        <v>2</v>
      </c>
      <c r="F27" s="7">
        <v>72</v>
      </c>
      <c r="G27" s="46">
        <v>4</v>
      </c>
      <c r="H27" s="35" t="s">
        <v>47</v>
      </c>
      <c r="I27" s="61"/>
      <c r="J27" s="12">
        <v>4</v>
      </c>
      <c r="K27" s="14"/>
    </row>
    <row r="28" spans="1:11" x14ac:dyDescent="0.3">
      <c r="A28" s="7"/>
      <c r="B28" s="7"/>
      <c r="C28" s="7"/>
      <c r="D28" s="7"/>
      <c r="E28" s="7">
        <v>3</v>
      </c>
      <c r="F28" s="7">
        <v>50</v>
      </c>
      <c r="G28" s="46">
        <v>5</v>
      </c>
      <c r="H28" s="35" t="s">
        <v>47</v>
      </c>
      <c r="I28" s="61"/>
      <c r="J28" s="12">
        <v>3</v>
      </c>
      <c r="K28" s="14"/>
    </row>
    <row r="29" spans="1:11" x14ac:dyDescent="0.3">
      <c r="A29" s="7"/>
      <c r="B29" s="7"/>
      <c r="C29" s="7"/>
      <c r="D29" s="7"/>
      <c r="E29" s="7">
        <v>4</v>
      </c>
      <c r="F29" s="7">
        <v>89</v>
      </c>
      <c r="G29" s="46">
        <v>2</v>
      </c>
      <c r="H29" s="35" t="s">
        <v>47</v>
      </c>
      <c r="I29" s="61"/>
      <c r="J29" s="12">
        <v>2</v>
      </c>
      <c r="K29" s="14"/>
    </row>
    <row r="30" spans="1:11" ht="15" thickBot="1" x14ac:dyDescent="0.35">
      <c r="A30" s="9"/>
      <c r="B30" s="9"/>
      <c r="C30" s="9"/>
      <c r="D30" s="9"/>
      <c r="E30" s="9">
        <v>5</v>
      </c>
      <c r="F30" s="9">
        <v>89</v>
      </c>
      <c r="G30" s="47">
        <v>2</v>
      </c>
      <c r="H30" s="36" t="s">
        <v>47</v>
      </c>
      <c r="I30" s="62"/>
      <c r="J30" s="13">
        <v>1</v>
      </c>
      <c r="K30" s="15" t="s">
        <v>105</v>
      </c>
    </row>
    <row r="31" spans="1:11" x14ac:dyDescent="0.3">
      <c r="A31" s="10" t="s">
        <v>3</v>
      </c>
      <c r="B31" s="10" t="s">
        <v>107</v>
      </c>
      <c r="C31" s="10" t="s">
        <v>142</v>
      </c>
      <c r="D31" s="10" t="s">
        <v>27</v>
      </c>
      <c r="E31" s="10">
        <v>1</v>
      </c>
      <c r="F31" s="10" t="s">
        <v>31</v>
      </c>
      <c r="G31" s="48">
        <v>5</v>
      </c>
      <c r="H31" s="37" t="s">
        <v>109</v>
      </c>
      <c r="I31" s="60" t="s">
        <v>143</v>
      </c>
      <c r="J31" s="12">
        <v>5</v>
      </c>
      <c r="K31" s="14" t="s">
        <v>92</v>
      </c>
    </row>
    <row r="32" spans="1:11" x14ac:dyDescent="0.3">
      <c r="A32" s="7"/>
      <c r="B32" s="7"/>
      <c r="C32" s="7"/>
      <c r="D32" s="7"/>
      <c r="E32" s="7">
        <v>2</v>
      </c>
      <c r="F32" s="7" t="s">
        <v>126</v>
      </c>
      <c r="G32" s="46">
        <v>2</v>
      </c>
      <c r="H32" s="35" t="s">
        <v>110</v>
      </c>
      <c r="I32" s="61"/>
      <c r="J32" s="12">
        <v>4</v>
      </c>
      <c r="K32" s="14" t="s">
        <v>111</v>
      </c>
    </row>
    <row r="33" spans="1:11" ht="43.2" x14ac:dyDescent="0.3">
      <c r="A33" s="7"/>
      <c r="B33" s="7"/>
      <c r="C33" s="7"/>
      <c r="D33" s="7"/>
      <c r="E33" s="7">
        <v>3</v>
      </c>
      <c r="F33" s="7" t="s">
        <v>28</v>
      </c>
      <c r="G33" s="46">
        <v>1</v>
      </c>
      <c r="H33" s="35" t="s">
        <v>112</v>
      </c>
      <c r="I33" s="61"/>
      <c r="J33" s="12">
        <v>3</v>
      </c>
      <c r="K33" s="14" t="s">
        <v>94</v>
      </c>
    </row>
    <row r="34" spans="1:11" x14ac:dyDescent="0.3">
      <c r="A34" s="7"/>
      <c r="B34" s="7"/>
      <c r="C34" s="7"/>
      <c r="D34" s="7"/>
      <c r="E34" s="7">
        <v>4</v>
      </c>
      <c r="F34" s="7" t="s">
        <v>126</v>
      </c>
      <c r="G34" s="46">
        <v>2</v>
      </c>
      <c r="H34" s="35" t="s">
        <v>113</v>
      </c>
      <c r="I34" s="61"/>
      <c r="J34" s="12">
        <v>2</v>
      </c>
      <c r="K34" s="14" t="s">
        <v>95</v>
      </c>
    </row>
    <row r="35" spans="1:11" ht="15" thickBot="1" x14ac:dyDescent="0.35">
      <c r="A35" s="9"/>
      <c r="B35" s="9"/>
      <c r="C35" s="9"/>
      <c r="D35" s="9"/>
      <c r="E35" s="9">
        <v>5</v>
      </c>
      <c r="F35" s="9" t="s">
        <v>71</v>
      </c>
      <c r="G35" s="47">
        <v>3</v>
      </c>
      <c r="H35" s="36" t="s">
        <v>48</v>
      </c>
      <c r="I35" s="62"/>
      <c r="J35" s="13">
        <v>1</v>
      </c>
      <c r="K35" s="15" t="s">
        <v>96</v>
      </c>
    </row>
    <row r="36" spans="1:11" ht="28.8" x14ac:dyDescent="0.3">
      <c r="A36" s="10" t="s">
        <v>3</v>
      </c>
      <c r="B36" s="10" t="s">
        <v>49</v>
      </c>
      <c r="C36" s="10" t="s">
        <v>50</v>
      </c>
      <c r="D36" s="10" t="s">
        <v>46</v>
      </c>
      <c r="E36" s="10">
        <v>1</v>
      </c>
      <c r="F36" s="10">
        <v>43.6</v>
      </c>
      <c r="G36" s="48">
        <v>5</v>
      </c>
      <c r="H36" s="37" t="s">
        <v>51</v>
      </c>
      <c r="I36" s="60" t="s">
        <v>144</v>
      </c>
      <c r="J36" s="12">
        <v>5</v>
      </c>
      <c r="K36" s="14" t="s">
        <v>105</v>
      </c>
    </row>
    <row r="37" spans="1:11" x14ac:dyDescent="0.3">
      <c r="A37" s="7"/>
      <c r="B37" s="7"/>
      <c r="C37" s="7"/>
      <c r="D37" s="7"/>
      <c r="E37" s="7">
        <v>2</v>
      </c>
      <c r="F37" s="7">
        <v>19.600000000000001</v>
      </c>
      <c r="G37" s="46">
        <v>2</v>
      </c>
      <c r="H37" s="35" t="s">
        <v>52</v>
      </c>
      <c r="I37" s="61"/>
      <c r="J37" s="12">
        <v>4</v>
      </c>
      <c r="K37" s="14"/>
    </row>
    <row r="38" spans="1:11" x14ac:dyDescent="0.3">
      <c r="A38" s="7"/>
      <c r="B38" s="7"/>
      <c r="C38" s="7"/>
      <c r="D38" s="7"/>
      <c r="E38" s="7">
        <v>3</v>
      </c>
      <c r="F38" s="7">
        <v>37.299999999999997</v>
      </c>
      <c r="G38" s="46">
        <v>4</v>
      </c>
      <c r="H38" s="35" t="s">
        <v>53</v>
      </c>
      <c r="I38" s="61"/>
      <c r="J38" s="12">
        <v>3</v>
      </c>
      <c r="K38" s="14"/>
    </row>
    <row r="39" spans="1:11" x14ac:dyDescent="0.3">
      <c r="A39" s="7"/>
      <c r="B39" s="7"/>
      <c r="C39" s="7"/>
      <c r="D39" s="7"/>
      <c r="E39" s="7">
        <v>4</v>
      </c>
      <c r="F39" s="7">
        <v>27.3</v>
      </c>
      <c r="G39" s="46">
        <v>3</v>
      </c>
      <c r="H39" s="35" t="s">
        <v>54</v>
      </c>
      <c r="I39" s="61"/>
      <c r="J39" s="12">
        <v>2</v>
      </c>
      <c r="K39" s="14"/>
    </row>
    <row r="40" spans="1:11" ht="15" thickBot="1" x14ac:dyDescent="0.35">
      <c r="A40" s="9"/>
      <c r="B40" s="9"/>
      <c r="C40" s="9"/>
      <c r="D40" s="9"/>
      <c r="E40" s="9">
        <v>5</v>
      </c>
      <c r="F40" s="9">
        <v>6.7</v>
      </c>
      <c r="G40" s="47">
        <v>1</v>
      </c>
      <c r="H40" s="36" t="s">
        <v>55</v>
      </c>
      <c r="I40" s="62"/>
      <c r="J40" s="13">
        <v>1</v>
      </c>
      <c r="K40" s="15" t="s">
        <v>104</v>
      </c>
    </row>
    <row r="41" spans="1:11" x14ac:dyDescent="0.3">
      <c r="A41" s="10" t="s">
        <v>4</v>
      </c>
      <c r="B41" s="10" t="s">
        <v>56</v>
      </c>
      <c r="C41" s="10" t="s">
        <v>57</v>
      </c>
      <c r="D41" s="10" t="s">
        <v>58</v>
      </c>
      <c r="E41" s="10">
        <v>1</v>
      </c>
      <c r="F41" s="10">
        <v>5.84</v>
      </c>
      <c r="G41" s="48">
        <v>5</v>
      </c>
      <c r="H41" s="37" t="s">
        <v>59</v>
      </c>
      <c r="I41" s="60" t="s">
        <v>114</v>
      </c>
      <c r="J41" s="12">
        <v>5</v>
      </c>
      <c r="K41" s="14" t="s">
        <v>104</v>
      </c>
    </row>
    <row r="42" spans="1:11" x14ac:dyDescent="0.3">
      <c r="A42" s="7"/>
      <c r="B42" s="7"/>
      <c r="C42" s="7"/>
      <c r="D42" s="7"/>
      <c r="E42" s="7">
        <v>2</v>
      </c>
      <c r="F42" s="7">
        <v>18.190000000000001</v>
      </c>
      <c r="G42" s="46">
        <v>1</v>
      </c>
      <c r="H42" s="35" t="s">
        <v>60</v>
      </c>
      <c r="I42" s="61"/>
      <c r="J42" s="12">
        <v>4</v>
      </c>
      <c r="K42" s="14"/>
    </row>
    <row r="43" spans="1:11" x14ac:dyDescent="0.3">
      <c r="A43" s="7"/>
      <c r="B43" s="7"/>
      <c r="C43" s="7"/>
      <c r="D43" s="7"/>
      <c r="E43" s="7">
        <v>3</v>
      </c>
      <c r="F43" s="7">
        <v>8.6199999999999992</v>
      </c>
      <c r="G43" s="46">
        <v>2</v>
      </c>
      <c r="H43" s="35" t="s">
        <v>61</v>
      </c>
      <c r="I43" s="61"/>
      <c r="J43" s="12">
        <v>3</v>
      </c>
      <c r="K43" s="14"/>
    </row>
    <row r="44" spans="1:11" x14ac:dyDescent="0.3">
      <c r="A44" s="7"/>
      <c r="B44" s="7"/>
      <c r="C44" s="7"/>
      <c r="D44" s="7"/>
      <c r="E44" s="7">
        <v>4</v>
      </c>
      <c r="F44" s="7">
        <v>6.12</v>
      </c>
      <c r="G44" s="46">
        <v>4</v>
      </c>
      <c r="H44" s="35" t="s">
        <v>62</v>
      </c>
      <c r="I44" s="61"/>
      <c r="J44" s="12">
        <v>2</v>
      </c>
      <c r="K44" s="14"/>
    </row>
    <row r="45" spans="1:11" ht="15" thickBot="1" x14ac:dyDescent="0.35">
      <c r="A45" s="9"/>
      <c r="B45" s="9"/>
      <c r="C45" s="9"/>
      <c r="D45" s="9"/>
      <c r="E45" s="9">
        <v>5</v>
      </c>
      <c r="F45" s="9">
        <v>8.5</v>
      </c>
      <c r="G45" s="47">
        <v>3</v>
      </c>
      <c r="H45" s="36" t="s">
        <v>63</v>
      </c>
      <c r="I45" s="62"/>
      <c r="J45" s="13">
        <v>1</v>
      </c>
      <c r="K45" s="15" t="s">
        <v>105</v>
      </c>
    </row>
    <row r="46" spans="1:11" x14ac:dyDescent="0.3">
      <c r="A46" s="10" t="s">
        <v>4</v>
      </c>
      <c r="B46" s="10" t="s">
        <v>64</v>
      </c>
      <c r="C46" s="10" t="s">
        <v>65</v>
      </c>
      <c r="D46" s="10" t="s">
        <v>66</v>
      </c>
      <c r="E46" s="10">
        <v>1</v>
      </c>
      <c r="F46" s="10">
        <v>6.52</v>
      </c>
      <c r="G46" s="48">
        <v>3</v>
      </c>
      <c r="H46" s="33" t="s">
        <v>115</v>
      </c>
      <c r="I46" s="66" t="s">
        <v>145</v>
      </c>
      <c r="J46" s="12">
        <v>5</v>
      </c>
      <c r="K46" s="14" t="s">
        <v>104</v>
      </c>
    </row>
    <row r="47" spans="1:11" x14ac:dyDescent="0.3">
      <c r="A47" s="7"/>
      <c r="B47" s="7"/>
      <c r="C47" s="7"/>
      <c r="D47" s="7"/>
      <c r="E47" s="7">
        <v>2</v>
      </c>
      <c r="F47" s="7">
        <v>12.76</v>
      </c>
      <c r="G47" s="46">
        <v>2</v>
      </c>
      <c r="H47" s="33" t="s">
        <v>116</v>
      </c>
      <c r="I47" s="67"/>
      <c r="J47" s="12">
        <v>4</v>
      </c>
      <c r="K47" s="14"/>
    </row>
    <row r="48" spans="1:11" x14ac:dyDescent="0.3">
      <c r="A48" s="7"/>
      <c r="B48" s="7"/>
      <c r="C48" s="7"/>
      <c r="D48" s="7"/>
      <c r="E48" s="7">
        <v>3</v>
      </c>
      <c r="F48" s="7">
        <v>5.68</v>
      </c>
      <c r="G48" s="46">
        <v>4</v>
      </c>
      <c r="H48" s="33" t="s">
        <v>117</v>
      </c>
      <c r="I48" s="67"/>
      <c r="J48" s="12">
        <v>3</v>
      </c>
      <c r="K48" s="14"/>
    </row>
    <row r="49" spans="1:11" x14ac:dyDescent="0.3">
      <c r="A49" s="7"/>
      <c r="B49" s="7"/>
      <c r="C49" s="7"/>
      <c r="D49" s="7"/>
      <c r="E49" s="7">
        <v>4</v>
      </c>
      <c r="F49" s="7">
        <v>17.14</v>
      </c>
      <c r="G49" s="46">
        <v>1</v>
      </c>
      <c r="H49" s="33" t="s">
        <v>118</v>
      </c>
      <c r="I49" s="67"/>
      <c r="J49" s="12">
        <v>2</v>
      </c>
      <c r="K49" s="14"/>
    </row>
    <row r="50" spans="1:11" ht="15" thickBot="1" x14ac:dyDescent="0.35">
      <c r="A50" s="9"/>
      <c r="B50" s="9"/>
      <c r="C50" s="9"/>
      <c r="D50" s="9"/>
      <c r="E50" s="9">
        <v>5</v>
      </c>
      <c r="F50" s="9">
        <v>3.72</v>
      </c>
      <c r="G50" s="47">
        <v>5</v>
      </c>
      <c r="H50" s="34" t="s">
        <v>119</v>
      </c>
      <c r="I50" s="68"/>
      <c r="J50" s="13">
        <v>1</v>
      </c>
      <c r="K50" s="15" t="s">
        <v>105</v>
      </c>
    </row>
    <row r="51" spans="1:11" ht="21" customHeight="1" x14ac:dyDescent="0.3">
      <c r="A51" s="10" t="s">
        <v>4</v>
      </c>
      <c r="B51" s="10" t="s">
        <v>67</v>
      </c>
      <c r="C51" s="10" t="s">
        <v>68</v>
      </c>
      <c r="D51" s="10" t="s">
        <v>69</v>
      </c>
      <c r="E51" s="10">
        <v>1</v>
      </c>
      <c r="F51" s="10">
        <v>90</v>
      </c>
      <c r="G51" s="48">
        <v>2</v>
      </c>
      <c r="H51" s="40" t="s">
        <v>146</v>
      </c>
      <c r="I51" s="74" t="s">
        <v>147</v>
      </c>
      <c r="J51" s="12">
        <v>5</v>
      </c>
      <c r="K51" s="14" t="s">
        <v>104</v>
      </c>
    </row>
    <row r="52" spans="1:11" ht="17.399999999999999" customHeight="1" x14ac:dyDescent="0.3">
      <c r="A52" s="7"/>
      <c r="B52" s="7"/>
      <c r="C52" s="7"/>
      <c r="D52" s="7"/>
      <c r="E52" s="7">
        <v>2</v>
      </c>
      <c r="F52" s="7">
        <v>80</v>
      </c>
      <c r="G52" s="46">
        <v>3</v>
      </c>
      <c r="H52" s="40" t="s">
        <v>146</v>
      </c>
      <c r="I52" s="75"/>
      <c r="J52" s="12">
        <v>4</v>
      </c>
      <c r="K52" s="14"/>
    </row>
    <row r="53" spans="1:11" x14ac:dyDescent="0.3">
      <c r="A53" s="7"/>
      <c r="B53" s="7"/>
      <c r="C53" s="7"/>
      <c r="D53" s="7"/>
      <c r="E53" s="7">
        <v>3</v>
      </c>
      <c r="F53" s="7">
        <v>50</v>
      </c>
      <c r="G53" s="46">
        <v>4</v>
      </c>
      <c r="H53" s="40" t="s">
        <v>146</v>
      </c>
      <c r="I53" s="75"/>
      <c r="J53" s="12">
        <v>3</v>
      </c>
      <c r="K53" s="14"/>
    </row>
    <row r="54" spans="1:11" x14ac:dyDescent="0.3">
      <c r="A54" s="7"/>
      <c r="B54" s="7"/>
      <c r="C54" s="7"/>
      <c r="D54" s="7"/>
      <c r="E54" s="7">
        <v>4</v>
      </c>
      <c r="F54" s="7">
        <v>95</v>
      </c>
      <c r="G54" s="46">
        <v>1</v>
      </c>
      <c r="H54" s="40" t="s">
        <v>146</v>
      </c>
      <c r="I54" s="75"/>
      <c r="J54" s="12">
        <v>2</v>
      </c>
      <c r="K54" s="14"/>
    </row>
    <row r="55" spans="1:11" ht="19.95" customHeight="1" thickBot="1" x14ac:dyDescent="0.35">
      <c r="A55" s="9"/>
      <c r="B55" s="9"/>
      <c r="C55" s="9"/>
      <c r="D55" s="9"/>
      <c r="E55" s="9">
        <v>5</v>
      </c>
      <c r="F55" s="9">
        <v>50</v>
      </c>
      <c r="G55" s="49">
        <v>5</v>
      </c>
      <c r="H55" s="41" t="s">
        <v>146</v>
      </c>
      <c r="I55" s="76"/>
      <c r="J55" s="13">
        <v>1</v>
      </c>
      <c r="K55" s="15" t="s">
        <v>105</v>
      </c>
    </row>
    <row r="56" spans="1:11" ht="24.6" customHeight="1" x14ac:dyDescent="0.3">
      <c r="A56" s="10" t="s">
        <v>5</v>
      </c>
      <c r="B56" s="10" t="s">
        <v>70</v>
      </c>
      <c r="C56" s="7" t="s">
        <v>123</v>
      </c>
      <c r="D56" s="10" t="s">
        <v>27</v>
      </c>
      <c r="E56" s="10">
        <v>1</v>
      </c>
      <c r="F56" s="10" t="s">
        <v>120</v>
      </c>
      <c r="G56" s="48">
        <v>3</v>
      </c>
      <c r="H56" s="37" t="s">
        <v>152</v>
      </c>
      <c r="I56" s="60" t="s">
        <v>153</v>
      </c>
      <c r="J56" s="12">
        <v>5</v>
      </c>
      <c r="K56" s="14" t="s">
        <v>121</v>
      </c>
    </row>
    <row r="57" spans="1:11" x14ac:dyDescent="0.3">
      <c r="A57" s="7"/>
      <c r="B57" s="7"/>
      <c r="C57" s="7"/>
      <c r="D57" s="7"/>
      <c r="E57" s="7">
        <v>2</v>
      </c>
      <c r="F57" s="7" t="s">
        <v>120</v>
      </c>
      <c r="G57" s="46">
        <v>3</v>
      </c>
      <c r="H57" s="37" t="s">
        <v>152</v>
      </c>
      <c r="I57" s="61"/>
      <c r="J57" s="12">
        <v>4</v>
      </c>
      <c r="K57" s="14" t="s">
        <v>122</v>
      </c>
    </row>
    <row r="58" spans="1:11" ht="24" customHeight="1" x14ac:dyDescent="0.3">
      <c r="A58" s="7"/>
      <c r="B58" s="7"/>
      <c r="C58" s="8"/>
      <c r="D58" s="7"/>
      <c r="E58" s="7">
        <v>3</v>
      </c>
      <c r="F58" s="7" t="s">
        <v>121</v>
      </c>
      <c r="G58" s="46">
        <v>5</v>
      </c>
      <c r="H58" s="37" t="s">
        <v>152</v>
      </c>
      <c r="I58" s="61"/>
      <c r="J58" s="12">
        <v>3</v>
      </c>
      <c r="K58" s="14" t="s">
        <v>120</v>
      </c>
    </row>
    <row r="59" spans="1:11" ht="22.2" customHeight="1" x14ac:dyDescent="0.3">
      <c r="A59" s="7"/>
      <c r="B59" s="7"/>
      <c r="C59" s="7"/>
      <c r="D59" s="7"/>
      <c r="E59" s="7">
        <v>4</v>
      </c>
      <c r="F59" s="7" t="s">
        <v>121</v>
      </c>
      <c r="G59" s="46">
        <v>5</v>
      </c>
      <c r="H59" s="18" t="s">
        <v>152</v>
      </c>
      <c r="I59" s="61"/>
      <c r="J59" s="12">
        <v>2</v>
      </c>
      <c r="K59" s="14" t="s">
        <v>124</v>
      </c>
    </row>
    <row r="60" spans="1:11" ht="40.200000000000003" customHeight="1" thickBot="1" x14ac:dyDescent="0.35">
      <c r="A60" s="9"/>
      <c r="B60" s="9"/>
      <c r="C60" s="9"/>
      <c r="D60" s="9"/>
      <c r="E60" s="9">
        <v>5</v>
      </c>
      <c r="F60" s="9" t="s">
        <v>120</v>
      </c>
      <c r="G60" s="49">
        <v>3</v>
      </c>
      <c r="H60" s="19" t="s">
        <v>152</v>
      </c>
      <c r="I60" s="62"/>
      <c r="J60" s="13">
        <v>1</v>
      </c>
      <c r="K60" s="15" t="s">
        <v>125</v>
      </c>
    </row>
    <row r="61" spans="1:11" x14ac:dyDescent="0.3">
      <c r="A61" s="10" t="s">
        <v>5</v>
      </c>
      <c r="B61" s="10" t="s">
        <v>72</v>
      </c>
      <c r="C61" s="10" t="s">
        <v>73</v>
      </c>
      <c r="D61" s="10" t="s">
        <v>74</v>
      </c>
      <c r="E61" s="10">
        <v>1</v>
      </c>
      <c r="F61" s="10" t="s">
        <v>126</v>
      </c>
      <c r="G61" s="48">
        <v>2</v>
      </c>
      <c r="H61" s="40" t="s">
        <v>148</v>
      </c>
      <c r="I61" s="60" t="s">
        <v>149</v>
      </c>
      <c r="J61" s="12">
        <v>5</v>
      </c>
      <c r="K61" s="14" t="s">
        <v>92</v>
      </c>
    </row>
    <row r="62" spans="1:11" x14ac:dyDescent="0.3">
      <c r="A62" s="7"/>
      <c r="B62" s="7"/>
      <c r="C62" s="7"/>
      <c r="D62" s="7"/>
      <c r="E62" s="7">
        <v>2</v>
      </c>
      <c r="F62" s="7" t="s">
        <v>127</v>
      </c>
      <c r="G62" s="46">
        <v>3</v>
      </c>
      <c r="H62" s="40" t="s">
        <v>148</v>
      </c>
      <c r="I62" s="61"/>
      <c r="J62" s="12">
        <v>4</v>
      </c>
      <c r="K62" s="14" t="s">
        <v>111</v>
      </c>
    </row>
    <row r="63" spans="1:11" x14ac:dyDescent="0.3">
      <c r="A63" s="7"/>
      <c r="B63" s="7"/>
      <c r="C63" s="7"/>
      <c r="D63" s="7"/>
      <c r="E63" s="7">
        <v>3</v>
      </c>
      <c r="F63" s="7" t="s">
        <v>126</v>
      </c>
      <c r="G63" s="46">
        <v>2</v>
      </c>
      <c r="H63" s="40" t="s">
        <v>148</v>
      </c>
      <c r="I63" s="61"/>
      <c r="J63" s="12">
        <v>3</v>
      </c>
      <c r="K63" s="14" t="s">
        <v>94</v>
      </c>
    </row>
    <row r="64" spans="1:11" x14ac:dyDescent="0.3">
      <c r="A64" s="7"/>
      <c r="B64" s="7"/>
      <c r="C64" s="7"/>
      <c r="D64" s="7"/>
      <c r="E64" s="7">
        <v>4</v>
      </c>
      <c r="F64" s="7" t="s">
        <v>28</v>
      </c>
      <c r="G64" s="46">
        <v>1</v>
      </c>
      <c r="H64" s="40" t="s">
        <v>148</v>
      </c>
      <c r="I64" s="61"/>
      <c r="J64" s="12">
        <v>2</v>
      </c>
      <c r="K64" s="14" t="s">
        <v>95</v>
      </c>
    </row>
    <row r="65" spans="1:11" ht="15" thickBot="1" x14ac:dyDescent="0.35">
      <c r="A65" s="9"/>
      <c r="B65" s="9"/>
      <c r="C65" s="9"/>
      <c r="D65" s="9"/>
      <c r="E65" s="9">
        <v>5</v>
      </c>
      <c r="F65" s="9" t="s">
        <v>71</v>
      </c>
      <c r="G65" s="49">
        <v>3</v>
      </c>
      <c r="H65" s="41" t="s">
        <v>148</v>
      </c>
      <c r="I65" s="77"/>
      <c r="J65" s="13">
        <v>1</v>
      </c>
      <c r="K65" s="15" t="s">
        <v>96</v>
      </c>
    </row>
    <row r="66" spans="1:11" x14ac:dyDescent="0.3">
      <c r="A66" s="10" t="s">
        <v>5</v>
      </c>
      <c r="B66" s="10" t="s">
        <v>76</v>
      </c>
      <c r="C66" s="10" t="s">
        <v>77</v>
      </c>
      <c r="D66" s="10" t="s">
        <v>78</v>
      </c>
      <c r="E66" s="10">
        <v>1</v>
      </c>
      <c r="F66" s="10">
        <v>59</v>
      </c>
      <c r="G66" s="50">
        <v>1</v>
      </c>
      <c r="H66" s="40" t="s">
        <v>150</v>
      </c>
      <c r="I66" s="66" t="s">
        <v>151</v>
      </c>
      <c r="J66" s="12">
        <v>5</v>
      </c>
      <c r="K66" s="14" t="s">
        <v>104</v>
      </c>
    </row>
    <row r="67" spans="1:11" x14ac:dyDescent="0.3">
      <c r="A67" s="7"/>
      <c r="B67" s="7"/>
      <c r="C67" s="7"/>
      <c r="D67" s="7"/>
      <c r="E67" s="7">
        <v>2</v>
      </c>
      <c r="F67" s="17">
        <v>0</v>
      </c>
      <c r="G67" s="46">
        <v>5</v>
      </c>
      <c r="H67" s="42" t="s">
        <v>137</v>
      </c>
      <c r="I67" s="67"/>
      <c r="J67" s="12">
        <v>4</v>
      </c>
      <c r="K67" s="14"/>
    </row>
    <row r="68" spans="1:11" x14ac:dyDescent="0.3">
      <c r="A68" s="7"/>
      <c r="B68" s="7"/>
      <c r="C68" s="7"/>
      <c r="D68" s="7"/>
      <c r="E68" s="7">
        <v>3</v>
      </c>
      <c r="F68" s="7">
        <v>1</v>
      </c>
      <c r="G68" s="48">
        <v>2</v>
      </c>
      <c r="H68" s="43" t="s">
        <v>128</v>
      </c>
      <c r="I68" s="67"/>
      <c r="J68" s="12">
        <v>3</v>
      </c>
      <c r="K68" s="14"/>
    </row>
    <row r="69" spans="1:11" x14ac:dyDescent="0.3">
      <c r="A69" s="7"/>
      <c r="B69" s="7"/>
      <c r="C69" s="7"/>
      <c r="D69" s="7"/>
      <c r="E69" s="7">
        <v>4</v>
      </c>
      <c r="F69" s="7">
        <v>1</v>
      </c>
      <c r="G69" s="46">
        <v>3</v>
      </c>
      <c r="H69" s="43" t="s">
        <v>129</v>
      </c>
      <c r="I69" s="67"/>
      <c r="J69" s="12">
        <v>2</v>
      </c>
      <c r="K69" s="14"/>
    </row>
    <row r="70" spans="1:11" ht="15" thickBot="1" x14ac:dyDescent="0.35">
      <c r="A70" s="9"/>
      <c r="B70" s="9"/>
      <c r="C70" s="9"/>
      <c r="D70" s="9"/>
      <c r="E70" s="9">
        <v>5</v>
      </c>
      <c r="F70" s="9">
        <v>1</v>
      </c>
      <c r="G70" s="47">
        <v>4</v>
      </c>
      <c r="H70" s="44" t="s">
        <v>130</v>
      </c>
      <c r="I70" s="68"/>
      <c r="J70" s="13">
        <v>1</v>
      </c>
      <c r="K70" s="15" t="s">
        <v>105</v>
      </c>
    </row>
    <row r="71" spans="1:11" x14ac:dyDescent="0.3">
      <c r="A71" s="10" t="s">
        <v>5</v>
      </c>
      <c r="B71" s="10" t="s">
        <v>79</v>
      </c>
      <c r="C71" s="10" t="s">
        <v>80</v>
      </c>
      <c r="D71" s="10" t="s">
        <v>74</v>
      </c>
      <c r="E71" s="10">
        <v>1</v>
      </c>
      <c r="F71" s="10" t="s">
        <v>75</v>
      </c>
      <c r="G71" s="48">
        <v>3</v>
      </c>
      <c r="H71" s="43" t="s">
        <v>131</v>
      </c>
      <c r="I71" s="66" t="s">
        <v>154</v>
      </c>
      <c r="J71" s="12">
        <v>5</v>
      </c>
      <c r="K71" s="14" t="s">
        <v>92</v>
      </c>
    </row>
    <row r="72" spans="1:11" x14ac:dyDescent="0.3">
      <c r="A72" s="7"/>
      <c r="B72" s="7"/>
      <c r="C72" s="7"/>
      <c r="D72" s="7"/>
      <c r="E72" s="7">
        <v>2</v>
      </c>
      <c r="F72" s="7" t="s">
        <v>28</v>
      </c>
      <c r="G72" s="46">
        <v>4</v>
      </c>
      <c r="H72" s="43" t="s">
        <v>131</v>
      </c>
      <c r="I72" s="67"/>
      <c r="J72" s="12">
        <v>4</v>
      </c>
      <c r="K72" s="14" t="s">
        <v>111</v>
      </c>
    </row>
    <row r="73" spans="1:11" x14ac:dyDescent="0.3">
      <c r="A73" s="7"/>
      <c r="B73" s="7"/>
      <c r="C73" s="7"/>
      <c r="D73" s="7"/>
      <c r="E73" s="7">
        <v>3</v>
      </c>
      <c r="F73" s="7" t="s">
        <v>28</v>
      </c>
      <c r="G73" s="46">
        <v>5</v>
      </c>
      <c r="H73" s="43" t="s">
        <v>131</v>
      </c>
      <c r="I73" s="67"/>
      <c r="J73" s="12">
        <v>3</v>
      </c>
      <c r="K73" s="14" t="s">
        <v>94</v>
      </c>
    </row>
    <row r="74" spans="1:11" x14ac:dyDescent="0.3">
      <c r="A74" s="7"/>
      <c r="B74" s="7"/>
      <c r="C74" s="7"/>
      <c r="D74" s="7"/>
      <c r="E74" s="7">
        <v>4</v>
      </c>
      <c r="F74" s="7" t="s">
        <v>31</v>
      </c>
      <c r="G74" s="46">
        <v>1</v>
      </c>
      <c r="H74" s="43" t="s">
        <v>131</v>
      </c>
      <c r="I74" s="67"/>
      <c r="J74" s="12">
        <v>2</v>
      </c>
      <c r="K74" s="14" t="s">
        <v>95</v>
      </c>
    </row>
    <row r="75" spans="1:11" ht="15" thickBot="1" x14ac:dyDescent="0.35">
      <c r="A75" s="9"/>
      <c r="B75" s="9"/>
      <c r="C75" s="9"/>
      <c r="D75" s="9"/>
      <c r="E75" s="9">
        <v>5</v>
      </c>
      <c r="F75" s="9" t="s">
        <v>31</v>
      </c>
      <c r="G75" s="47">
        <v>2</v>
      </c>
      <c r="H75" s="44" t="s">
        <v>131</v>
      </c>
      <c r="I75" s="68"/>
      <c r="J75" s="13">
        <v>1</v>
      </c>
      <c r="K75" s="15" t="s">
        <v>96</v>
      </c>
    </row>
    <row r="76" spans="1:11" x14ac:dyDescent="0.3">
      <c r="A76" s="10" t="s">
        <v>5</v>
      </c>
      <c r="B76" s="10" t="s">
        <v>81</v>
      </c>
      <c r="C76" s="10" t="s">
        <v>82</v>
      </c>
      <c r="D76" s="10" t="s">
        <v>74</v>
      </c>
      <c r="E76" s="10">
        <v>1</v>
      </c>
      <c r="F76" s="10" t="s">
        <v>31</v>
      </c>
      <c r="G76" s="48">
        <v>5</v>
      </c>
      <c r="H76" s="37" t="s">
        <v>155</v>
      </c>
      <c r="I76" s="60" t="s">
        <v>160</v>
      </c>
      <c r="J76" s="12">
        <v>5</v>
      </c>
      <c r="K76" s="14" t="s">
        <v>92</v>
      </c>
    </row>
    <row r="77" spans="1:11" x14ac:dyDescent="0.3">
      <c r="A77" s="7"/>
      <c r="B77" s="7"/>
      <c r="C77" s="7"/>
      <c r="D77" s="7"/>
      <c r="E77" s="7">
        <v>2</v>
      </c>
      <c r="F77" s="7" t="s">
        <v>75</v>
      </c>
      <c r="G77" s="46">
        <v>3</v>
      </c>
      <c r="H77" s="35" t="s">
        <v>156</v>
      </c>
      <c r="I77" s="61"/>
      <c r="J77" s="12">
        <v>4</v>
      </c>
      <c r="K77" s="14" t="s">
        <v>111</v>
      </c>
    </row>
    <row r="78" spans="1:11" x14ac:dyDescent="0.3">
      <c r="A78" s="7"/>
      <c r="B78" s="7"/>
      <c r="C78" s="7"/>
      <c r="D78" s="7"/>
      <c r="E78" s="7">
        <v>3</v>
      </c>
      <c r="F78" s="7" t="s">
        <v>75</v>
      </c>
      <c r="G78" s="46">
        <v>3</v>
      </c>
      <c r="H78" s="35" t="s">
        <v>157</v>
      </c>
      <c r="I78" s="61"/>
      <c r="J78" s="12">
        <v>3</v>
      </c>
      <c r="K78" s="14" t="s">
        <v>94</v>
      </c>
    </row>
    <row r="79" spans="1:11" x14ac:dyDescent="0.3">
      <c r="A79" s="7"/>
      <c r="B79" s="7"/>
      <c r="C79" s="8"/>
      <c r="D79" s="7"/>
      <c r="E79" s="7">
        <v>4</v>
      </c>
      <c r="F79" s="7" t="s">
        <v>92</v>
      </c>
      <c r="G79" s="46">
        <v>5</v>
      </c>
      <c r="H79" s="35" t="s">
        <v>158</v>
      </c>
      <c r="I79" s="61"/>
      <c r="J79" s="12">
        <v>2</v>
      </c>
      <c r="K79" s="14" t="s">
        <v>95</v>
      </c>
    </row>
    <row r="80" spans="1:11" ht="15" thickBot="1" x14ac:dyDescent="0.35">
      <c r="A80" s="9"/>
      <c r="B80" s="9"/>
      <c r="C80" s="9"/>
      <c r="D80" s="9"/>
      <c r="E80" s="9">
        <v>5</v>
      </c>
      <c r="F80" s="9" t="s">
        <v>92</v>
      </c>
      <c r="G80" s="47">
        <v>5</v>
      </c>
      <c r="H80" s="36" t="s">
        <v>159</v>
      </c>
      <c r="I80" s="62"/>
      <c r="J80" s="13">
        <v>1</v>
      </c>
      <c r="K80" s="15" t="s">
        <v>96</v>
      </c>
    </row>
    <row r="81" spans="1:11" x14ac:dyDescent="0.3">
      <c r="A81" s="10" t="s">
        <v>6</v>
      </c>
      <c r="B81" s="10" t="s">
        <v>83</v>
      </c>
      <c r="C81" s="10" t="s">
        <v>84</v>
      </c>
      <c r="D81" s="10" t="s">
        <v>85</v>
      </c>
      <c r="E81" s="10">
        <v>1</v>
      </c>
      <c r="F81" s="10">
        <v>18</v>
      </c>
      <c r="G81" s="48">
        <v>4</v>
      </c>
      <c r="H81" s="37" t="s">
        <v>86</v>
      </c>
      <c r="I81" s="66" t="s">
        <v>161</v>
      </c>
      <c r="J81" s="12">
        <v>5</v>
      </c>
      <c r="K81" s="14" t="s">
        <v>171</v>
      </c>
    </row>
    <row r="82" spans="1:11" x14ac:dyDescent="0.3">
      <c r="A82" s="7"/>
      <c r="B82" s="7"/>
      <c r="C82" s="7"/>
      <c r="D82" s="7"/>
      <c r="E82" s="7">
        <v>2</v>
      </c>
      <c r="F82" s="7">
        <v>5</v>
      </c>
      <c r="G82" s="46">
        <v>2</v>
      </c>
      <c r="H82" s="35" t="s">
        <v>87</v>
      </c>
      <c r="I82" s="67"/>
      <c r="J82" s="12">
        <v>4</v>
      </c>
      <c r="K82" s="14"/>
    </row>
    <row r="83" spans="1:11" x14ac:dyDescent="0.3">
      <c r="A83" s="7"/>
      <c r="B83" s="7"/>
      <c r="C83" s="7"/>
      <c r="D83" s="7"/>
      <c r="E83" s="7">
        <v>3</v>
      </c>
      <c r="F83" s="7">
        <v>8</v>
      </c>
      <c r="G83" s="46">
        <v>3</v>
      </c>
      <c r="H83" s="35" t="s">
        <v>88</v>
      </c>
      <c r="I83" s="67"/>
      <c r="J83" s="12">
        <v>3</v>
      </c>
      <c r="K83" s="14"/>
    </row>
    <row r="84" spans="1:11" x14ac:dyDescent="0.3">
      <c r="A84" s="7"/>
      <c r="B84" s="7"/>
      <c r="C84" s="7"/>
      <c r="D84" s="7"/>
      <c r="E84" s="7">
        <v>4</v>
      </c>
      <c r="F84" s="7">
        <v>22</v>
      </c>
      <c r="G84" s="46">
        <v>5</v>
      </c>
      <c r="H84" s="35" t="s">
        <v>89</v>
      </c>
      <c r="I84" s="67"/>
      <c r="J84" s="12">
        <v>2</v>
      </c>
      <c r="K84" s="14"/>
    </row>
    <row r="85" spans="1:11" ht="15" thickBot="1" x14ac:dyDescent="0.35">
      <c r="A85" s="20"/>
      <c r="B85" s="20"/>
      <c r="C85" s="20"/>
      <c r="D85" s="20"/>
      <c r="E85" s="20">
        <v>5</v>
      </c>
      <c r="F85" s="20">
        <v>4</v>
      </c>
      <c r="G85" s="51">
        <v>1</v>
      </c>
      <c r="H85" s="45" t="s">
        <v>90</v>
      </c>
      <c r="I85" s="67"/>
      <c r="J85" s="12">
        <v>1</v>
      </c>
      <c r="K85" s="14" t="s">
        <v>172</v>
      </c>
    </row>
    <row r="86" spans="1:11" ht="15" thickBot="1" x14ac:dyDescent="0.35">
      <c r="A86" s="63" t="s">
        <v>132</v>
      </c>
      <c r="B86" s="64"/>
      <c r="C86" s="64"/>
      <c r="D86" s="64"/>
      <c r="E86" s="64"/>
      <c r="F86" s="64"/>
      <c r="G86" s="64"/>
      <c r="H86" s="64"/>
      <c r="I86" s="64"/>
      <c r="J86" s="64"/>
      <c r="K86" s="65"/>
    </row>
    <row r="87" spans="1:11" ht="28.8" x14ac:dyDescent="0.3">
      <c r="A87" s="21" t="s">
        <v>133</v>
      </c>
      <c r="B87" s="22" t="s">
        <v>134</v>
      </c>
      <c r="C87" s="22" t="s">
        <v>135</v>
      </c>
      <c r="D87" s="22" t="s">
        <v>108</v>
      </c>
      <c r="E87" s="23">
        <v>1</v>
      </c>
      <c r="F87" s="22" t="s">
        <v>96</v>
      </c>
      <c r="G87" s="22">
        <v>1</v>
      </c>
      <c r="H87" s="24" t="s">
        <v>136</v>
      </c>
      <c r="I87" s="69" t="s">
        <v>162</v>
      </c>
      <c r="J87" s="25">
        <v>5</v>
      </c>
      <c r="K87" s="26" t="s">
        <v>92</v>
      </c>
    </row>
    <row r="88" spans="1:11" ht="28.8" x14ac:dyDescent="0.3">
      <c r="A88" s="27"/>
      <c r="E88" s="28">
        <v>2</v>
      </c>
      <c r="F88" t="s">
        <v>94</v>
      </c>
      <c r="G88">
        <v>3</v>
      </c>
      <c r="H88" s="3" t="s">
        <v>136</v>
      </c>
      <c r="I88" s="70"/>
      <c r="J88" s="12">
        <v>4</v>
      </c>
      <c r="K88" s="29" t="s">
        <v>111</v>
      </c>
    </row>
    <row r="89" spans="1:11" ht="28.8" x14ac:dyDescent="0.3">
      <c r="A89" s="27"/>
      <c r="E89" s="28">
        <v>3</v>
      </c>
      <c r="F89" t="s">
        <v>96</v>
      </c>
      <c r="G89">
        <v>1</v>
      </c>
      <c r="H89" s="3" t="s">
        <v>136</v>
      </c>
      <c r="I89" s="70"/>
      <c r="J89" s="12">
        <v>3</v>
      </c>
      <c r="K89" s="29" t="s">
        <v>94</v>
      </c>
    </row>
    <row r="90" spans="1:11" ht="28.8" x14ac:dyDescent="0.3">
      <c r="A90" s="27"/>
      <c r="E90" s="28">
        <v>4</v>
      </c>
      <c r="F90" t="s">
        <v>95</v>
      </c>
      <c r="G90">
        <v>2</v>
      </c>
      <c r="H90" s="3" t="s">
        <v>136</v>
      </c>
      <c r="I90" s="70"/>
      <c r="J90" s="12">
        <v>2</v>
      </c>
      <c r="K90" s="29" t="s">
        <v>95</v>
      </c>
    </row>
    <row r="91" spans="1:11" ht="29.4" thickBot="1" x14ac:dyDescent="0.35">
      <c r="A91" s="30"/>
      <c r="B91" s="5"/>
      <c r="C91" s="5"/>
      <c r="D91" s="5"/>
      <c r="E91" s="31">
        <v>5</v>
      </c>
      <c r="F91" s="5" t="s">
        <v>95</v>
      </c>
      <c r="G91" s="5">
        <v>2</v>
      </c>
      <c r="H91" s="4" t="s">
        <v>136</v>
      </c>
      <c r="I91" s="71"/>
      <c r="J91" s="13">
        <v>1</v>
      </c>
      <c r="K91" s="32" t="s">
        <v>96</v>
      </c>
    </row>
  </sheetData>
  <mergeCells count="19">
    <mergeCell ref="I11:I15"/>
    <mergeCell ref="I21:I25"/>
    <mergeCell ref="I26:I30"/>
    <mergeCell ref="I31:I35"/>
    <mergeCell ref="A86:K86"/>
    <mergeCell ref="I46:I50"/>
    <mergeCell ref="I87:I91"/>
    <mergeCell ref="J5:K5"/>
    <mergeCell ref="I16:I20"/>
    <mergeCell ref="I81:I85"/>
    <mergeCell ref="I71:I75"/>
    <mergeCell ref="I66:I70"/>
    <mergeCell ref="I76:I80"/>
    <mergeCell ref="I36:I40"/>
    <mergeCell ref="I41:I45"/>
    <mergeCell ref="I51:I55"/>
    <mergeCell ref="I56:I60"/>
    <mergeCell ref="I61:I65"/>
    <mergeCell ref="I6:I10"/>
  </mergeCells>
  <hyperlinks>
    <hyperlink ref="H51" r:id="rId1" xr:uid="{87B608CB-B79B-4CEE-A3E2-6793DD0064F4}"/>
    <hyperlink ref="H61" r:id="rId2" xr:uid="{22F2F168-B0FB-4D69-8BD5-3D804DFC1220}"/>
    <hyperlink ref="H66" r:id="rId3" xr:uid="{39C3FE14-DA27-48D2-A311-407FDC378407}"/>
  </hyperlinks>
  <pageMargins left="0.75" right="0.75" top="1" bottom="1" header="0.5" footer="0.5"/>
  <pageSetup orientation="portrait" r:id="rId4"/>
  <legacy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C868A-3297-4BC9-A072-2BA55D04EA50}">
  <dimension ref="A1:B6"/>
  <sheetViews>
    <sheetView workbookViewId="0"/>
    <sheetView workbookViewId="1">
      <selection activeCell="B2" sqref="B2:B6"/>
    </sheetView>
  </sheetViews>
  <sheetFormatPr defaultRowHeight="14.4" x14ac:dyDescent="0.3"/>
  <sheetData>
    <row r="1" spans="1:2" x14ac:dyDescent="0.3">
      <c r="A1" t="s">
        <v>21</v>
      </c>
      <c r="B1" t="s">
        <v>164</v>
      </c>
    </row>
    <row r="2" spans="1:2" x14ac:dyDescent="0.3">
      <c r="A2" t="s">
        <v>12</v>
      </c>
      <c r="B2">
        <v>1</v>
      </c>
    </row>
    <row r="3" spans="1:2" x14ac:dyDescent="0.3">
      <c r="A3" s="3" t="s">
        <v>13</v>
      </c>
      <c r="B3">
        <v>2</v>
      </c>
    </row>
    <row r="4" spans="1:2" x14ac:dyDescent="0.3">
      <c r="A4" t="s">
        <v>14</v>
      </c>
      <c r="B4">
        <v>3</v>
      </c>
    </row>
    <row r="5" spans="1:2" x14ac:dyDescent="0.3">
      <c r="A5" t="s">
        <v>15</v>
      </c>
      <c r="B5">
        <v>4</v>
      </c>
    </row>
    <row r="6" spans="1:2" x14ac:dyDescent="0.3">
      <c r="A6" t="s">
        <v>16</v>
      </c>
      <c r="B6">
        <v>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2244A-8FB0-4506-A58E-0CBDB1B0F3A7}">
  <dimension ref="A1:C17"/>
  <sheetViews>
    <sheetView workbookViewId="0"/>
    <sheetView workbookViewId="1">
      <selection activeCell="C37" sqref="C37"/>
    </sheetView>
  </sheetViews>
  <sheetFormatPr defaultRowHeight="14.4" x14ac:dyDescent="0.3"/>
  <cols>
    <col min="1" max="1" width="26.21875" bestFit="1" customWidth="1"/>
    <col min="2" max="2" width="28.33203125" bestFit="1" customWidth="1"/>
    <col min="3" max="3" width="54" bestFit="1" customWidth="1"/>
  </cols>
  <sheetData>
    <row r="1" spans="1:3" x14ac:dyDescent="0.3">
      <c r="A1" s="40" t="s">
        <v>17</v>
      </c>
      <c r="B1" t="s">
        <v>18</v>
      </c>
      <c r="C1" t="s">
        <v>19</v>
      </c>
    </row>
    <row r="2" spans="1:3" x14ac:dyDescent="0.3">
      <c r="A2" s="40" t="s">
        <v>2</v>
      </c>
      <c r="B2" t="s">
        <v>25</v>
      </c>
      <c r="C2" t="s">
        <v>26</v>
      </c>
    </row>
    <row r="3" spans="1:3" x14ac:dyDescent="0.3">
      <c r="A3" s="40" t="s">
        <v>2</v>
      </c>
      <c r="B3" t="s">
        <v>32</v>
      </c>
      <c r="C3" t="s">
        <v>33</v>
      </c>
    </row>
    <row r="4" spans="1:3" x14ac:dyDescent="0.3">
      <c r="A4" s="40" t="s">
        <v>2</v>
      </c>
      <c r="B4" t="s">
        <v>36</v>
      </c>
      <c r="C4" t="s">
        <v>37</v>
      </c>
    </row>
    <row r="5" spans="1:3" x14ac:dyDescent="0.3">
      <c r="A5" s="52" t="s">
        <v>3</v>
      </c>
      <c r="B5" t="s">
        <v>41</v>
      </c>
      <c r="C5" t="s">
        <v>42</v>
      </c>
    </row>
    <row r="6" spans="1:3" x14ac:dyDescent="0.3">
      <c r="A6" s="52" t="s">
        <v>3</v>
      </c>
      <c r="B6" t="s">
        <v>44</v>
      </c>
      <c r="C6" t="s">
        <v>45</v>
      </c>
    </row>
    <row r="7" spans="1:3" x14ac:dyDescent="0.3">
      <c r="A7" s="52" t="s">
        <v>3</v>
      </c>
      <c r="B7" t="s">
        <v>107</v>
      </c>
      <c r="C7" t="s">
        <v>142</v>
      </c>
    </row>
    <row r="8" spans="1:3" x14ac:dyDescent="0.3">
      <c r="A8" s="52" t="s">
        <v>3</v>
      </c>
      <c r="B8" t="s">
        <v>49</v>
      </c>
      <c r="C8" t="s">
        <v>50</v>
      </c>
    </row>
    <row r="9" spans="1:3" x14ac:dyDescent="0.3">
      <c r="A9" s="52" t="s">
        <v>4</v>
      </c>
      <c r="B9" t="s">
        <v>56</v>
      </c>
      <c r="C9" t="s">
        <v>57</v>
      </c>
    </row>
    <row r="10" spans="1:3" x14ac:dyDescent="0.3">
      <c r="A10" s="52" t="s">
        <v>4</v>
      </c>
      <c r="B10" t="s">
        <v>64</v>
      </c>
      <c r="C10" t="s">
        <v>65</v>
      </c>
    </row>
    <row r="11" spans="1:3" x14ac:dyDescent="0.3">
      <c r="A11" s="52" t="s">
        <v>4</v>
      </c>
      <c r="B11" t="s">
        <v>67</v>
      </c>
      <c r="C11" t="s">
        <v>68</v>
      </c>
    </row>
    <row r="12" spans="1:3" x14ac:dyDescent="0.3">
      <c r="A12" s="52" t="s">
        <v>5</v>
      </c>
      <c r="B12" t="s">
        <v>70</v>
      </c>
      <c r="C12" t="s">
        <v>123</v>
      </c>
    </row>
    <row r="13" spans="1:3" x14ac:dyDescent="0.3">
      <c r="A13" s="52" t="s">
        <v>5</v>
      </c>
      <c r="B13" t="s">
        <v>72</v>
      </c>
      <c r="C13" t="s">
        <v>73</v>
      </c>
    </row>
    <row r="14" spans="1:3" x14ac:dyDescent="0.3">
      <c r="A14" s="52" t="s">
        <v>5</v>
      </c>
      <c r="B14" t="s">
        <v>76</v>
      </c>
      <c r="C14" t="s">
        <v>77</v>
      </c>
    </row>
    <row r="15" spans="1:3" x14ac:dyDescent="0.3">
      <c r="A15" s="52" t="s">
        <v>5</v>
      </c>
      <c r="B15" t="s">
        <v>79</v>
      </c>
      <c r="C15" t="s">
        <v>80</v>
      </c>
    </row>
    <row r="16" spans="1:3" x14ac:dyDescent="0.3">
      <c r="A16" s="52" t="s">
        <v>5</v>
      </c>
      <c r="B16" t="s">
        <v>81</v>
      </c>
      <c r="C16" t="s">
        <v>82</v>
      </c>
    </row>
    <row r="17" spans="1:3" x14ac:dyDescent="0.3">
      <c r="A17" s="52" t="s">
        <v>6</v>
      </c>
      <c r="B17" t="s">
        <v>83</v>
      </c>
      <c r="C17" t="s">
        <v>84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BA16D-AE90-4471-A714-82F4FE56945E}">
  <dimension ref="A1:R7"/>
  <sheetViews>
    <sheetView workbookViewId="0"/>
    <sheetView workbookViewId="1">
      <selection activeCell="H3" sqref="H3"/>
    </sheetView>
  </sheetViews>
  <sheetFormatPr defaultRowHeight="14.4" x14ac:dyDescent="0.3"/>
  <cols>
    <col min="3" max="18" width="13" style="54" customWidth="1"/>
  </cols>
  <sheetData>
    <row r="1" spans="1:18" ht="43.2" x14ac:dyDescent="0.3">
      <c r="A1" s="78" t="s">
        <v>21</v>
      </c>
      <c r="B1" s="78" t="s">
        <v>165</v>
      </c>
      <c r="C1" s="53" t="s">
        <v>25</v>
      </c>
      <c r="D1" s="53" t="s">
        <v>32</v>
      </c>
      <c r="E1" s="53" t="s">
        <v>36</v>
      </c>
      <c r="F1" s="53" t="s">
        <v>41</v>
      </c>
      <c r="G1" s="53" t="s">
        <v>44</v>
      </c>
      <c r="H1" s="53" t="s">
        <v>107</v>
      </c>
      <c r="I1" s="53" t="s">
        <v>49</v>
      </c>
      <c r="J1" s="53" t="s">
        <v>56</v>
      </c>
      <c r="K1" s="53" t="s">
        <v>64</v>
      </c>
      <c r="L1" s="53" t="s">
        <v>67</v>
      </c>
      <c r="M1" s="53" t="s">
        <v>70</v>
      </c>
      <c r="N1" s="53" t="s">
        <v>72</v>
      </c>
      <c r="O1" s="53" t="s">
        <v>76</v>
      </c>
      <c r="P1" s="53" t="s">
        <v>79</v>
      </c>
      <c r="Q1" s="53" t="s">
        <v>81</v>
      </c>
      <c r="R1" s="53" t="s">
        <v>83</v>
      </c>
    </row>
    <row r="2" spans="1:18" x14ac:dyDescent="0.3">
      <c r="A2" s="78"/>
      <c r="B2" s="78"/>
      <c r="C2" s="53" t="s">
        <v>27</v>
      </c>
      <c r="D2" s="53" t="s">
        <v>34</v>
      </c>
      <c r="E2" s="53" t="s">
        <v>38</v>
      </c>
      <c r="F2" s="53" t="s">
        <v>43</v>
      </c>
      <c r="G2" s="53" t="s">
        <v>46</v>
      </c>
      <c r="H2" s="53" t="s">
        <v>27</v>
      </c>
      <c r="I2" s="53" t="s">
        <v>46</v>
      </c>
      <c r="J2" s="53" t="s">
        <v>58</v>
      </c>
      <c r="K2" s="53" t="s">
        <v>66</v>
      </c>
      <c r="L2" s="53" t="s">
        <v>69</v>
      </c>
      <c r="M2" s="53" t="s">
        <v>27</v>
      </c>
      <c r="N2" s="53" t="s">
        <v>74</v>
      </c>
      <c r="O2" s="53" t="s">
        <v>78</v>
      </c>
      <c r="P2" s="53" t="s">
        <v>74</v>
      </c>
      <c r="Q2" s="53" t="s">
        <v>74</v>
      </c>
      <c r="R2" s="53" t="s">
        <v>167</v>
      </c>
    </row>
    <row r="3" spans="1:18" x14ac:dyDescent="0.3">
      <c r="A3">
        <v>1</v>
      </c>
      <c r="B3" t="s">
        <v>12</v>
      </c>
      <c r="C3" s="54" t="str">
        <f>'Site Selector Data - edited'!F6</f>
        <v>Low-Medium</v>
      </c>
      <c r="D3" s="54">
        <f>'Site Selector Data - edited'!F11</f>
        <v>36.950000000000003</v>
      </c>
      <c r="E3" s="54" t="str">
        <f>'Site Selector Data - edited'!F16</f>
        <v>Yes</v>
      </c>
      <c r="F3" s="54">
        <f>'Site Selector Data - edited'!F21</f>
        <v>1975</v>
      </c>
      <c r="G3" s="54">
        <f>'Site Selector Data - edited'!F26</f>
        <v>80</v>
      </c>
      <c r="H3" s="54" t="str">
        <f>'Site Selector Data - edited'!F31</f>
        <v>Low</v>
      </c>
      <c r="I3" s="54">
        <f>'Site Selector Data - edited'!F36</f>
        <v>43.6</v>
      </c>
      <c r="J3" s="54">
        <f>'Site Selector Data - edited'!F41</f>
        <v>5.84</v>
      </c>
      <c r="K3" s="54">
        <f>'Site Selector Data - edited'!F46</f>
        <v>6.52</v>
      </c>
      <c r="L3" s="54">
        <f>'Site Selector Data - edited'!F51</f>
        <v>90</v>
      </c>
      <c r="M3" s="54" t="str">
        <f>'Site Selector Data - edited'!F56</f>
        <v>C</v>
      </c>
      <c r="N3" s="54" t="str">
        <f>'Site Selector Data - edited'!F61</f>
        <v>Medium-high</v>
      </c>
      <c r="O3" s="54">
        <f>'Site Selector Data - edited'!F66</f>
        <v>59</v>
      </c>
      <c r="P3" s="54" t="str">
        <f>'Site Selector Data - edited'!F71</f>
        <v>Moderate</v>
      </c>
      <c r="Q3" s="54" t="str">
        <f>'Site Selector Data - edited'!F76</f>
        <v>Low</v>
      </c>
      <c r="R3" s="54">
        <f>'Site Selector Data - edited'!F81</f>
        <v>18</v>
      </c>
    </row>
    <row r="4" spans="1:18" x14ac:dyDescent="0.3">
      <c r="A4">
        <v>2</v>
      </c>
      <c r="B4" s="3" t="s">
        <v>13</v>
      </c>
      <c r="C4" s="54" t="str">
        <f>'Site Selector Data - edited'!F7</f>
        <v>Low-Medium</v>
      </c>
      <c r="D4" s="54">
        <f>'Site Selector Data - edited'!F12</f>
        <v>92.79</v>
      </c>
      <c r="E4" s="54" t="str">
        <f>'Site Selector Data - edited'!F17</f>
        <v>Yes</v>
      </c>
      <c r="F4" s="54">
        <f>'Site Selector Data - edited'!F22</f>
        <v>665</v>
      </c>
      <c r="G4" s="54">
        <f>'Site Selector Data - edited'!F27</f>
        <v>72</v>
      </c>
      <c r="H4" s="54" t="str">
        <f>'Site Selector Data - edited'!F32</f>
        <v>Medium-high</v>
      </c>
      <c r="I4" s="54">
        <f>'Site Selector Data - edited'!F37</f>
        <v>19.600000000000001</v>
      </c>
      <c r="J4" s="54">
        <f>'Site Selector Data - edited'!F42</f>
        <v>18.190000000000001</v>
      </c>
      <c r="K4" s="54">
        <f>'Site Selector Data - edited'!F47</f>
        <v>12.76</v>
      </c>
      <c r="L4" s="54">
        <f>'Site Selector Data - edited'!F52</f>
        <v>80</v>
      </c>
      <c r="M4" s="54" t="str">
        <f>'Site Selector Data - edited'!F57</f>
        <v>C</v>
      </c>
      <c r="N4" s="54" t="str">
        <f>'Site Selector Data - edited'!F62</f>
        <v xml:space="preserve">Medium </v>
      </c>
      <c r="O4" s="54">
        <f>'Site Selector Data - edited'!F67</f>
        <v>0</v>
      </c>
      <c r="P4" s="54" t="str">
        <f>'Site Selector Data - edited'!F72</f>
        <v>High</v>
      </c>
      <c r="Q4" s="54" t="str">
        <f>'Site Selector Data - edited'!F77</f>
        <v>Moderate</v>
      </c>
      <c r="R4" s="54">
        <f>'Site Selector Data - edited'!F82</f>
        <v>5</v>
      </c>
    </row>
    <row r="5" spans="1:18" x14ac:dyDescent="0.3">
      <c r="A5">
        <v>3</v>
      </c>
      <c r="B5" t="s">
        <v>14</v>
      </c>
      <c r="C5" s="54" t="str">
        <f>'Site Selector Data - edited'!F8</f>
        <v>High</v>
      </c>
      <c r="D5" s="54">
        <f>'Site Selector Data - edited'!F13</f>
        <v>56.55</v>
      </c>
      <c r="E5" s="54" t="str">
        <f>'Site Selector Data - edited'!F18</f>
        <v>Yes</v>
      </c>
      <c r="F5" s="54">
        <f>'Site Selector Data - edited'!F23</f>
        <v>698</v>
      </c>
      <c r="G5" s="54">
        <f>'Site Selector Data - edited'!F28</f>
        <v>50</v>
      </c>
      <c r="H5" s="54" t="str">
        <f>'Site Selector Data - edited'!F33</f>
        <v>High</v>
      </c>
      <c r="I5" s="54">
        <f>'Site Selector Data - edited'!F38</f>
        <v>37.299999999999997</v>
      </c>
      <c r="J5" s="54">
        <f>'Site Selector Data - edited'!F43</f>
        <v>8.6199999999999992</v>
      </c>
      <c r="K5" s="54">
        <f>'Site Selector Data - edited'!F48</f>
        <v>5.68</v>
      </c>
      <c r="L5" s="54">
        <f>'Site Selector Data - edited'!F53</f>
        <v>50</v>
      </c>
      <c r="M5" s="54" t="str">
        <f>'Site Selector Data - edited'!F58</f>
        <v>A</v>
      </c>
      <c r="N5" s="54" t="str">
        <f>'Site Selector Data - edited'!F63</f>
        <v>Medium-high</v>
      </c>
      <c r="O5" s="54">
        <f>'Site Selector Data - edited'!F68</f>
        <v>1</v>
      </c>
      <c r="P5" s="54" t="str">
        <f>'Site Selector Data - edited'!F73</f>
        <v>High</v>
      </c>
      <c r="Q5" s="54" t="str">
        <f>'Site Selector Data - edited'!F78</f>
        <v>Moderate</v>
      </c>
      <c r="R5" s="54">
        <f>'Site Selector Data - edited'!F83</f>
        <v>8</v>
      </c>
    </row>
    <row r="6" spans="1:18" x14ac:dyDescent="0.3">
      <c r="A6">
        <v>4</v>
      </c>
      <c r="B6" t="s">
        <v>15</v>
      </c>
      <c r="C6" s="54" t="str">
        <f>'Site Selector Data - edited'!F9</f>
        <v>Low-Medium</v>
      </c>
      <c r="D6" s="54">
        <f>'Site Selector Data - edited'!F14</f>
        <v>54.12</v>
      </c>
      <c r="E6" s="54" t="str">
        <f>'Site Selector Data - edited'!F19</f>
        <v>Yes</v>
      </c>
      <c r="F6" s="54">
        <f>'Site Selector Data - edited'!F24</f>
        <v>3042</v>
      </c>
      <c r="G6" s="54">
        <f>'Site Selector Data - edited'!F29</f>
        <v>89</v>
      </c>
      <c r="H6" s="54" t="str">
        <f>'Site Selector Data - edited'!F34</f>
        <v>Medium-high</v>
      </c>
      <c r="I6" s="54">
        <f>'Site Selector Data - edited'!F39</f>
        <v>27.3</v>
      </c>
      <c r="J6" s="54">
        <f>'Site Selector Data - edited'!F44</f>
        <v>6.12</v>
      </c>
      <c r="K6" s="54">
        <f>'Site Selector Data - edited'!F49</f>
        <v>17.14</v>
      </c>
      <c r="L6" s="54">
        <f>'Site Selector Data - edited'!F54</f>
        <v>95</v>
      </c>
      <c r="M6" s="54" t="str">
        <f>'Site Selector Data - edited'!F59</f>
        <v>A</v>
      </c>
      <c r="N6" s="54" t="str">
        <f>'Site Selector Data - edited'!F64</f>
        <v>High</v>
      </c>
      <c r="O6" s="54">
        <f>'Site Selector Data - edited'!F69</f>
        <v>1</v>
      </c>
      <c r="P6" s="54" t="str">
        <f>'Site Selector Data - edited'!F74</f>
        <v>Low</v>
      </c>
      <c r="Q6" s="54" t="str">
        <f>'Site Selector Data - edited'!F79</f>
        <v>low</v>
      </c>
      <c r="R6" s="54">
        <f>'Site Selector Data - edited'!F84</f>
        <v>22</v>
      </c>
    </row>
    <row r="7" spans="1:18" x14ac:dyDescent="0.3">
      <c r="A7">
        <v>5</v>
      </c>
      <c r="B7" t="s">
        <v>16</v>
      </c>
      <c r="C7" s="54" t="str">
        <f>'Site Selector Data - edited'!F10</f>
        <v>Medium</v>
      </c>
      <c r="D7" s="54">
        <f>'Site Selector Data - edited'!F15</f>
        <v>48.31</v>
      </c>
      <c r="E7" s="54" t="str">
        <f>'Site Selector Data - edited'!F20</f>
        <v>Yes</v>
      </c>
      <c r="F7" s="54">
        <f>'Site Selector Data - edited'!F25</f>
        <v>2486</v>
      </c>
      <c r="G7" s="54">
        <f>'Site Selector Data - edited'!F30</f>
        <v>89</v>
      </c>
      <c r="H7" s="54" t="str">
        <f>'Site Selector Data - edited'!F35</f>
        <v>Medium</v>
      </c>
      <c r="I7" s="54">
        <f>'Site Selector Data - edited'!F40</f>
        <v>6.7</v>
      </c>
      <c r="J7" s="54">
        <f>'Site Selector Data - edited'!F45</f>
        <v>8.5</v>
      </c>
      <c r="K7" s="54">
        <f>'Site Selector Data - edited'!F50</f>
        <v>3.72</v>
      </c>
      <c r="L7" s="54">
        <f>'Site Selector Data - edited'!F55</f>
        <v>50</v>
      </c>
      <c r="M7" s="54" t="str">
        <f>'Site Selector Data - edited'!F60</f>
        <v>C</v>
      </c>
      <c r="N7" s="54" t="str">
        <f>'Site Selector Data - edited'!F65</f>
        <v>Medium</v>
      </c>
      <c r="O7" s="54">
        <f>'Site Selector Data - edited'!F70</f>
        <v>1</v>
      </c>
      <c r="P7" s="54" t="str">
        <f>'Site Selector Data - edited'!F75</f>
        <v>Low</v>
      </c>
      <c r="Q7" s="54" t="str">
        <f>'Site Selector Data - edited'!F80</f>
        <v>low</v>
      </c>
      <c r="R7" s="54">
        <f>'Site Selector Data - edited'!F85</f>
        <v>4</v>
      </c>
    </row>
  </sheetData>
  <mergeCells count="2">
    <mergeCell ref="A1:A2"/>
    <mergeCell ref="B1:B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D1FD4-CBF2-4FF9-A9D4-CFE5116A5DD7}">
  <dimension ref="A1:U6"/>
  <sheetViews>
    <sheetView tabSelected="1" workbookViewId="0">
      <selection activeCell="T2" sqref="T2"/>
    </sheetView>
    <sheetView tabSelected="1" workbookViewId="1">
      <selection activeCell="T2" sqref="T2:T6"/>
    </sheetView>
  </sheetViews>
  <sheetFormatPr defaultRowHeight="14.4" x14ac:dyDescent="0.3"/>
  <cols>
    <col min="3" max="18" width="13" style="54" customWidth="1"/>
  </cols>
  <sheetData>
    <row r="1" spans="1:21" ht="43.2" x14ac:dyDescent="0.3">
      <c r="A1" s="54" t="s">
        <v>21</v>
      </c>
      <c r="B1" s="54" t="s">
        <v>165</v>
      </c>
      <c r="C1" s="53" t="s">
        <v>25</v>
      </c>
      <c r="D1" s="53" t="s">
        <v>32</v>
      </c>
      <c r="E1" s="53" t="s">
        <v>36</v>
      </c>
      <c r="F1" s="53" t="s">
        <v>41</v>
      </c>
      <c r="G1" s="53" t="s">
        <v>44</v>
      </c>
      <c r="H1" s="53" t="s">
        <v>107</v>
      </c>
      <c r="I1" s="53" t="s">
        <v>49</v>
      </c>
      <c r="J1" s="53" t="s">
        <v>56</v>
      </c>
      <c r="K1" s="53" t="s">
        <v>64</v>
      </c>
      <c r="L1" s="53" t="s">
        <v>67</v>
      </c>
      <c r="M1" s="53" t="s">
        <v>70</v>
      </c>
      <c r="N1" s="53" t="s">
        <v>72</v>
      </c>
      <c r="O1" s="53" t="s">
        <v>76</v>
      </c>
      <c r="P1" s="53" t="s">
        <v>79</v>
      </c>
      <c r="Q1" s="53" t="s">
        <v>81</v>
      </c>
      <c r="R1" s="53" t="s">
        <v>83</v>
      </c>
    </row>
    <row r="2" spans="1:21" x14ac:dyDescent="0.3">
      <c r="A2">
        <v>1</v>
      </c>
      <c r="B2" t="s">
        <v>12</v>
      </c>
      <c r="C2" s="54">
        <f>'Site Selector Data - edited'!G6</f>
        <v>4</v>
      </c>
      <c r="D2" s="54">
        <f>'Site Selector Data - edited'!G11</f>
        <v>1</v>
      </c>
      <c r="E2" s="54">
        <f>'Site Selector Data - edited'!G16</f>
        <v>5</v>
      </c>
      <c r="F2" s="54">
        <f>'Site Selector Data - edited'!G21</f>
        <v>3</v>
      </c>
      <c r="G2" s="54">
        <f>'Site Selector Data - edited'!G26</f>
        <v>3</v>
      </c>
      <c r="H2" s="54">
        <f>'Site Selector Data - edited'!G31</f>
        <v>5</v>
      </c>
      <c r="I2" s="54">
        <f>'Site Selector Data - edited'!G36</f>
        <v>5</v>
      </c>
      <c r="J2" s="54">
        <f>'Site Selector Data - edited'!G41</f>
        <v>5</v>
      </c>
      <c r="K2" s="54">
        <f>'Site Selector Data - edited'!G46</f>
        <v>3</v>
      </c>
      <c r="L2" s="54">
        <f>'Site Selector Data - edited'!G51</f>
        <v>2</v>
      </c>
      <c r="M2" s="54">
        <f>'Site Selector Data - edited'!G56</f>
        <v>3</v>
      </c>
      <c r="N2" s="54">
        <f>'Site Selector Data - edited'!G61</f>
        <v>2</v>
      </c>
      <c r="O2" s="54">
        <f>'Site Selector Data - edited'!G66</f>
        <v>1</v>
      </c>
      <c r="P2" s="54">
        <f>'Site Selector Data - edited'!G71</f>
        <v>3</v>
      </c>
      <c r="Q2" s="54">
        <f>'Site Selector Data - edited'!G76</f>
        <v>5</v>
      </c>
      <c r="R2" s="54">
        <f>'Site Selector Data - edited'!G81</f>
        <v>4</v>
      </c>
      <c r="T2">
        <f>AVERAGE(C2:E2)</f>
        <v>3.3333333333333335</v>
      </c>
      <c r="U2">
        <f>SUM(C2:E2)</f>
        <v>10</v>
      </c>
    </row>
    <row r="3" spans="1:21" x14ac:dyDescent="0.3">
      <c r="A3">
        <v>2</v>
      </c>
      <c r="B3" s="3" t="s">
        <v>13</v>
      </c>
      <c r="C3" s="54">
        <f>'Site Selector Data - edited'!G7</f>
        <v>4</v>
      </c>
      <c r="D3" s="54">
        <f>'Site Selector Data - edited'!G12</f>
        <v>5</v>
      </c>
      <c r="E3" s="54">
        <f>'Site Selector Data - edited'!G17</f>
        <v>5</v>
      </c>
      <c r="F3" s="54">
        <f>'Site Selector Data - edited'!G22</f>
        <v>5</v>
      </c>
      <c r="G3" s="54">
        <f>'Site Selector Data - edited'!G27</f>
        <v>4</v>
      </c>
      <c r="H3" s="54">
        <f>'Site Selector Data - edited'!G32</f>
        <v>2</v>
      </c>
      <c r="I3" s="54">
        <f>'Site Selector Data - edited'!G37</f>
        <v>2</v>
      </c>
      <c r="J3" s="54">
        <f>'Site Selector Data - edited'!G42</f>
        <v>1</v>
      </c>
      <c r="K3" s="54">
        <f>'Site Selector Data - edited'!G47</f>
        <v>2</v>
      </c>
      <c r="L3" s="54">
        <f>'Site Selector Data - edited'!G52</f>
        <v>3</v>
      </c>
      <c r="M3" s="54">
        <f>'Site Selector Data - edited'!G57</f>
        <v>3</v>
      </c>
      <c r="N3" s="54">
        <f>'Site Selector Data - edited'!G62</f>
        <v>3</v>
      </c>
      <c r="O3" s="54">
        <f>'Site Selector Data - edited'!G67</f>
        <v>5</v>
      </c>
      <c r="P3" s="54">
        <f>'Site Selector Data - edited'!G72</f>
        <v>4</v>
      </c>
      <c r="Q3" s="54">
        <f>'Site Selector Data - edited'!G77</f>
        <v>3</v>
      </c>
      <c r="R3" s="54">
        <f>'Site Selector Data - edited'!G82</f>
        <v>2</v>
      </c>
      <c r="T3">
        <f t="shared" ref="T3:T6" si="0">AVERAGE(C3:E3)</f>
        <v>4.666666666666667</v>
      </c>
    </row>
    <row r="4" spans="1:21" x14ac:dyDescent="0.3">
      <c r="A4">
        <v>3</v>
      </c>
      <c r="B4" t="s">
        <v>14</v>
      </c>
      <c r="C4" s="54">
        <f>'Site Selector Data - edited'!G8</f>
        <v>1</v>
      </c>
      <c r="D4" s="54">
        <f>'Site Selector Data - edited'!G13</f>
        <v>4</v>
      </c>
      <c r="E4" s="54">
        <f>'Site Selector Data - edited'!G18</f>
        <v>5</v>
      </c>
      <c r="F4" s="54">
        <f>'Site Selector Data - edited'!G23</f>
        <v>4</v>
      </c>
      <c r="G4" s="54">
        <f>'Site Selector Data - edited'!G28</f>
        <v>5</v>
      </c>
      <c r="H4" s="54">
        <f>'Site Selector Data - edited'!G33</f>
        <v>1</v>
      </c>
      <c r="I4" s="54">
        <f>'Site Selector Data - edited'!G38</f>
        <v>4</v>
      </c>
      <c r="J4" s="54">
        <f>'Site Selector Data - edited'!G43</f>
        <v>2</v>
      </c>
      <c r="K4" s="54">
        <f>'Site Selector Data - edited'!G48</f>
        <v>4</v>
      </c>
      <c r="L4" s="54">
        <f>'Site Selector Data - edited'!G53</f>
        <v>4</v>
      </c>
      <c r="M4" s="54">
        <f>'Site Selector Data - edited'!G58</f>
        <v>5</v>
      </c>
      <c r="N4" s="54">
        <f>'Site Selector Data - edited'!G63</f>
        <v>2</v>
      </c>
      <c r="O4" s="54">
        <f>'Site Selector Data - edited'!G68</f>
        <v>2</v>
      </c>
      <c r="P4" s="54">
        <f>'Site Selector Data - edited'!G73</f>
        <v>5</v>
      </c>
      <c r="Q4" s="54">
        <f>'Site Selector Data - edited'!G78</f>
        <v>3</v>
      </c>
      <c r="R4" s="54">
        <f>'Site Selector Data - edited'!G83</f>
        <v>3</v>
      </c>
      <c r="T4">
        <f t="shared" si="0"/>
        <v>3.3333333333333335</v>
      </c>
    </row>
    <row r="5" spans="1:21" x14ac:dyDescent="0.3">
      <c r="A5">
        <v>4</v>
      </c>
      <c r="B5" t="s">
        <v>15</v>
      </c>
      <c r="C5" s="54">
        <f>'Site Selector Data - edited'!G9</f>
        <v>4</v>
      </c>
      <c r="D5" s="54">
        <f>'Site Selector Data - edited'!G14</f>
        <v>3</v>
      </c>
      <c r="E5" s="54">
        <f>'Site Selector Data - edited'!G19</f>
        <v>5</v>
      </c>
      <c r="F5" s="54">
        <f>'Site Selector Data - edited'!G24</f>
        <v>1</v>
      </c>
      <c r="G5" s="54">
        <f>'Site Selector Data - edited'!G29</f>
        <v>2</v>
      </c>
      <c r="H5" s="54">
        <f>'Site Selector Data - edited'!G34</f>
        <v>2</v>
      </c>
      <c r="I5" s="54">
        <f>'Site Selector Data - edited'!G39</f>
        <v>3</v>
      </c>
      <c r="J5" s="54">
        <f>'Site Selector Data - edited'!G44</f>
        <v>4</v>
      </c>
      <c r="K5" s="54">
        <f>'Site Selector Data - edited'!G49</f>
        <v>1</v>
      </c>
      <c r="L5" s="54">
        <f>'Site Selector Data - edited'!G54</f>
        <v>1</v>
      </c>
      <c r="M5" s="54">
        <f>'Site Selector Data - edited'!G59</f>
        <v>5</v>
      </c>
      <c r="N5" s="54">
        <f>'Site Selector Data - edited'!G64</f>
        <v>1</v>
      </c>
      <c r="O5" s="54">
        <f>'Site Selector Data - edited'!G69</f>
        <v>3</v>
      </c>
      <c r="P5" s="54">
        <f>'Site Selector Data - edited'!G74</f>
        <v>1</v>
      </c>
      <c r="Q5" s="54">
        <f>'Site Selector Data - edited'!G79</f>
        <v>5</v>
      </c>
      <c r="R5" s="54">
        <f>'Site Selector Data - edited'!G84</f>
        <v>5</v>
      </c>
      <c r="T5">
        <f t="shared" si="0"/>
        <v>4</v>
      </c>
    </row>
    <row r="6" spans="1:21" x14ac:dyDescent="0.3">
      <c r="A6">
        <v>5</v>
      </c>
      <c r="B6" t="s">
        <v>16</v>
      </c>
      <c r="C6" s="54">
        <f>'Site Selector Data - edited'!G10</f>
        <v>3</v>
      </c>
      <c r="D6" s="54">
        <f>'Site Selector Data - edited'!G15</f>
        <v>2</v>
      </c>
      <c r="E6" s="54">
        <f>'Site Selector Data - edited'!G20</f>
        <v>5</v>
      </c>
      <c r="F6" s="54">
        <f>'Site Selector Data - edited'!G25</f>
        <v>2</v>
      </c>
      <c r="G6" s="54">
        <f>'Site Selector Data - edited'!G30</f>
        <v>2</v>
      </c>
      <c r="H6" s="54">
        <f>'Site Selector Data - edited'!G35</f>
        <v>3</v>
      </c>
      <c r="I6" s="54">
        <f>'Site Selector Data - edited'!G40</f>
        <v>1</v>
      </c>
      <c r="J6" s="54">
        <f>'Site Selector Data - edited'!G45</f>
        <v>3</v>
      </c>
      <c r="K6" s="54">
        <f>'Site Selector Data - edited'!G50</f>
        <v>5</v>
      </c>
      <c r="L6" s="54">
        <f>'Site Selector Data - edited'!G55</f>
        <v>5</v>
      </c>
      <c r="M6" s="54">
        <f>'Site Selector Data - edited'!G60</f>
        <v>3</v>
      </c>
      <c r="N6" s="54">
        <f>'Site Selector Data - edited'!G65</f>
        <v>3</v>
      </c>
      <c r="O6" s="54">
        <f>'Site Selector Data - edited'!G70</f>
        <v>4</v>
      </c>
      <c r="P6" s="54">
        <f>'Site Selector Data - edited'!G75</f>
        <v>2</v>
      </c>
      <c r="Q6" s="54">
        <f>'Site Selector Data - edited'!G80</f>
        <v>5</v>
      </c>
      <c r="R6" s="54">
        <f>'Site Selector Data - edited'!G85</f>
        <v>1</v>
      </c>
      <c r="T6">
        <f t="shared" si="0"/>
        <v>3.3333333333333335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15BC4-8129-4605-95F6-605563D677F5}">
  <dimension ref="A1:R6"/>
  <sheetViews>
    <sheetView workbookViewId="0"/>
    <sheetView workbookViewId="1">
      <selection activeCell="O12" sqref="O12"/>
    </sheetView>
  </sheetViews>
  <sheetFormatPr defaultRowHeight="14.4" x14ac:dyDescent="0.3"/>
  <cols>
    <col min="3" max="18" width="13" style="54" customWidth="1"/>
  </cols>
  <sheetData>
    <row r="1" spans="1:18" ht="43.2" x14ac:dyDescent="0.3">
      <c r="A1" s="54" t="s">
        <v>21</v>
      </c>
      <c r="B1" s="54" t="s">
        <v>165</v>
      </c>
      <c r="C1" s="53" t="s">
        <v>25</v>
      </c>
      <c r="D1" s="53" t="s">
        <v>32</v>
      </c>
      <c r="E1" s="53" t="s">
        <v>36</v>
      </c>
      <c r="F1" s="53" t="s">
        <v>41</v>
      </c>
      <c r="G1" s="53" t="s">
        <v>44</v>
      </c>
      <c r="H1" s="53" t="s">
        <v>107</v>
      </c>
      <c r="I1" s="53" t="s">
        <v>49</v>
      </c>
      <c r="J1" s="53" t="s">
        <v>56</v>
      </c>
      <c r="K1" s="53" t="s">
        <v>64</v>
      </c>
      <c r="L1" s="53" t="s">
        <v>67</v>
      </c>
      <c r="M1" s="53" t="s">
        <v>70</v>
      </c>
      <c r="N1" s="53" t="s">
        <v>72</v>
      </c>
      <c r="O1" s="53" t="s">
        <v>76</v>
      </c>
      <c r="P1" s="53" t="s">
        <v>79</v>
      </c>
      <c r="Q1" s="53" t="s">
        <v>81</v>
      </c>
      <c r="R1" s="53" t="s">
        <v>83</v>
      </c>
    </row>
    <row r="2" spans="1:18" x14ac:dyDescent="0.3">
      <c r="A2">
        <v>1</v>
      </c>
      <c r="B2" t="s">
        <v>12</v>
      </c>
      <c r="C2" s="52" t="str">
        <f>'Site Selector Data - edited'!H6</f>
        <v>https://www.wri.org/applications/aqueduct/water-risk-atlas/</v>
      </c>
      <c r="D2" s="52" t="str">
        <f>'Site Selector Data - edited'!H11</f>
        <v>https://www.ncei.noaa.gov/products/land-based-station/us-climate-normals</v>
      </c>
      <c r="E2" s="52" t="str">
        <f>'Site Selector Data - edited'!H16</f>
        <v>https://oklahoma.gov/content/dam/ok/en/owrb/documents/water-planning/technical-reports/owrap-fact-sheet.pdf#:~:text=The%20overarching%20goal%20of%20the%20OWRAP%20is,water%20users%20(municipal%2C%20agricultural%2C%20industrial%2C%20and%20others).</v>
      </c>
      <c r="F2" s="52" t="str">
        <f>'Site Selector Data - edited'!H21</f>
        <v>https://www.ncei.noaa.gov/products/land-based-station/us-climate-normals</v>
      </c>
      <c r="G2" s="52" t="str">
        <f>'Site Selector Data - edited'!H26</f>
        <v>https://www.ncei.noaa.gov/products/land-based-station/comparative-climatic-data</v>
      </c>
      <c r="H2" s="52" t="str">
        <f>'Site Selector Data - edited'!H31</f>
        <v>https://oklahoma.gov/deq/divisions/air-quality/rules-planning.html</v>
      </c>
      <c r="I2" s="52" t="str">
        <f>'Site Selector Data - edited'!H36</f>
        <v>https://www.epa.gov/egrid (OK: 41.6% wind+solar+hydro)</v>
      </c>
      <c r="J2" s="52" t="str">
        <f>'Site Selector Data - edited'!H41</f>
        <v>https://www.eia.gov/electricity/sales_revenue_price/ (OK: 5.84¢/kWh)</v>
      </c>
      <c r="K2" s="52" t="str">
        <f>'Site Selector Data - edited'!H46</f>
        <v>https://www.okc.gov/Services/Water-Trash-Recycling/Pay-Bill/Utilities-Rates-Fees</v>
      </c>
      <c r="L2" s="52" t="str">
        <f>'Site Selector Data - edited'!H51</f>
        <v>https://pedp-ejscreen.azurewebsites.net/</v>
      </c>
      <c r="M2" s="52" t="str">
        <f>'Site Selector Data - edited'!H56</f>
        <v>https://gis.asce.org/beta-7-22/</v>
      </c>
      <c r="N2" s="52" t="str">
        <f>'Site Selector Data - edited'!H61</f>
        <v>https://www.floodsmart.gov/flood-zones-and-maps/what-is-my-flood-risk</v>
      </c>
      <c r="O2" s="52" t="str">
        <f>'Site Selector Data - edited'!H66</f>
        <v>https://www.weather.gov/oun/tornadodata-ok-monthlyannual</v>
      </c>
      <c r="P2" s="52" t="str">
        <f>'Site Selector Data - edited'!H71</f>
        <v>https://firedanger.cr.usgs.gov/viewer/index.html</v>
      </c>
      <c r="Q2" s="52" t="str">
        <f>'Site Selector Data - edited'!H76</f>
        <v>https://osdh-statewide-risk-assessment-osdh.hub.arcgis.com/pages/winter-storm</v>
      </c>
      <c r="R2" s="52" t="str">
        <f>'Site Selector Data - edited'!H81</f>
        <v>https://www.nps.gov/state/ok/index.htm</v>
      </c>
    </row>
    <row r="3" spans="1:18" x14ac:dyDescent="0.3">
      <c r="A3">
        <v>2</v>
      </c>
      <c r="B3" s="3" t="s">
        <v>13</v>
      </c>
      <c r="C3" s="52" t="str">
        <f>'Site Selector Data - edited'!H7</f>
        <v>https://www.wri.org/applications/aqueduct/water-risk-atlas/</v>
      </c>
      <c r="D3" s="52" t="str">
        <f>'Site Selector Data - edited'!H12</f>
        <v>https://www.ncei.noaa.gov/products/land-based-station/us-climate-normals</v>
      </c>
      <c r="E3" s="52" t="str">
        <f>'Site Selector Data - edited'!H17</f>
        <v>https://www.mass.gov/info-details/wastewater-reclaimed-water</v>
      </c>
      <c r="F3" s="52" t="str">
        <f>'Site Selector Data - edited'!H22</f>
        <v>https://www.ncei.noaa.gov/products/land-based-station/us-climate-normals</v>
      </c>
      <c r="G3" s="52" t="str">
        <f>'Site Selector Data - edited'!H27</f>
        <v>https://www.ncei.noaa.gov/products/land-based-station/comparative-climatic-data</v>
      </c>
      <c r="H3" s="52" t="str">
        <f>'Site Selector Data - edited'!H32</f>
        <v>https://www.boston.gov/departments/environment/berdo</v>
      </c>
      <c r="I3" s="52" t="str">
        <f>'Site Selector Data - edited'!H37</f>
        <v>https://www.epa.gov/egrid (MA: 18.7% wind+solar+hydro)</v>
      </c>
      <c r="J3" s="52" t="str">
        <f>'Site Selector Data - edited'!H42</f>
        <v>https://www.eia.gov/electricity/sales_revenue_price/ (MA: 18.19¢/kWh)</v>
      </c>
      <c r="K3" s="52" t="str">
        <f>'Site Selector Data - edited'!H47</f>
        <v>https://www.bwsc.org/business-customers/rates</v>
      </c>
      <c r="L3" s="52" t="str">
        <f>'Site Selector Data - edited'!H52</f>
        <v>https://pedp-ejscreen.azurewebsites.net/</v>
      </c>
      <c r="M3" s="52" t="str">
        <f>'Site Selector Data - edited'!H57</f>
        <v>https://gis.asce.org/beta-7-22/</v>
      </c>
      <c r="N3" s="52" t="str">
        <f>'Site Selector Data - edited'!H62</f>
        <v>https://www.floodsmart.gov/flood-zones-and-maps/what-is-my-flood-risk</v>
      </c>
      <c r="O3" s="52" t="str">
        <f>'Site Selector Data - edited'!H67</f>
        <v>https://www.tornadopath.com/massachusetts</v>
      </c>
      <c r="P3" s="52" t="str">
        <f>'Site Selector Data - edited'!H72</f>
        <v>https://firedanger.cr.usgs.gov/viewer/index.html</v>
      </c>
      <c r="Q3" s="52" t="str">
        <f>'Site Selector Data - edited'!H77</f>
        <v>https://forecast.weather.gov/product.php?site=BOX&amp;product=CLA&amp;issuedby=BOS</v>
      </c>
      <c r="R3" s="52" t="str">
        <f>'Site Selector Data - edited'!H82</f>
        <v>https://www.nps.gov/state/ma/index.htm</v>
      </c>
    </row>
    <row r="4" spans="1:18" x14ac:dyDescent="0.3">
      <c r="A4">
        <v>3</v>
      </c>
      <c r="B4" t="s">
        <v>14</v>
      </c>
      <c r="C4" s="52" t="str">
        <f>'Site Selector Data - edited'!H8</f>
        <v>https://www.wri.org/applications/aqueduct/water-risk-atlas/</v>
      </c>
      <c r="D4" s="52" t="str">
        <f>'Site Selector Data - edited'!H13</f>
        <v>https://www.ncei.noaa.gov/products/land-based-station/us-climate-normals</v>
      </c>
      <c r="E4" s="52" t="str">
        <f>'Site Selector Data - edited'!H18</f>
        <v>https://cwcb.colorado.gov/focus-areas/supply/water-reuse</v>
      </c>
      <c r="F4" s="52" t="str">
        <f>'Site Selector Data - edited'!H23</f>
        <v>https://www.ncei.noaa.gov/products/land-based-station/us-climate-normals</v>
      </c>
      <c r="G4" s="52" t="str">
        <f>'Site Selector Data - edited'!H28</f>
        <v>https://www.ncei.noaa.gov/products/land-based-station/comparative-climatic-data</v>
      </c>
      <c r="H4" s="52" t="str">
        <f>'Site Selector Data - edited'!H33</f>
        <v>https://www.denvergov.org/Government/Agencies-Departments-Offices/Agencies-Departments-Offices-Directory/Climate-Action-Sustainability-and-Resiliency/Cutting-Denvers-Carbon-Pollution/Efficient-Buildings-and-Homes/Denver-Building-Regulations</v>
      </c>
      <c r="I4" s="52" t="str">
        <f>'Site Selector Data - edited'!H38</f>
        <v>https://www.epa.gov/egrid (CO: 34.5% wind+solar+hydro)</v>
      </c>
      <c r="J4" s="52" t="str">
        <f>'Site Selector Data - edited'!H43</f>
        <v>https://www.eia.gov/electricity/sales_revenue_price/ (CO: 8.62¢/kWh)</v>
      </c>
      <c r="K4" s="52" t="str">
        <f>'Site Selector Data - edited'!H48</f>
        <v>https://www.denverwater.org/business/billing-and-rates/2026-rates</v>
      </c>
      <c r="L4" s="52" t="str">
        <f>'Site Selector Data - edited'!H53</f>
        <v>https://pedp-ejscreen.azurewebsites.net/</v>
      </c>
      <c r="M4" s="52" t="str">
        <f>'Site Selector Data - edited'!H58</f>
        <v>https://gis.asce.org/beta-7-22/</v>
      </c>
      <c r="N4" s="52" t="str">
        <f>'Site Selector Data - edited'!H63</f>
        <v>https://www.floodsmart.gov/flood-zones-and-maps/what-is-my-flood-risk</v>
      </c>
      <c r="O4" s="52" t="str">
        <f>'Site Selector Data - edited'!H68</f>
        <v>https://www.tornadopath.com/colorado/denver</v>
      </c>
      <c r="P4" s="52" t="str">
        <f>'Site Selector Data - edited'!H73</f>
        <v>https://firedanger.cr.usgs.gov/viewer/index.html</v>
      </c>
      <c r="Q4" s="52" t="str">
        <f>'Site Selector Data - edited'!H78</f>
        <v>https://forecast.weather.gov/product.php?site=BOU&amp;product=CLA&amp;issuedby=DEN</v>
      </c>
      <c r="R4" s="52" t="str">
        <f>'Site Selector Data - edited'!H83</f>
        <v>https://www.nps.gov/state/co/index.htm</v>
      </c>
    </row>
    <row r="5" spans="1:18" x14ac:dyDescent="0.3">
      <c r="A5">
        <v>4</v>
      </c>
      <c r="B5" t="s">
        <v>15</v>
      </c>
      <c r="C5" s="52" t="str">
        <f>'Site Selector Data - edited'!H9</f>
        <v>https://www.wri.org/applications/aqueduct/water-risk-atlas/</v>
      </c>
      <c r="D5" s="52" t="str">
        <f>'Site Selector Data - edited'!H14</f>
        <v>https://www.ncei.noaa.gov/products/land-based-station/us-climate-normals</v>
      </c>
      <c r="E5" s="52" t="str">
        <f>'Site Selector Data - edited'!H19</f>
        <v>https://www.twdb.texas.gov/innovativewater/reuse/index.asp</v>
      </c>
      <c r="F5" s="52" t="str">
        <f>'Site Selector Data - edited'!H24</f>
        <v>https://www.ncei.noaa.gov/products/land-based-station/us-climate-normals</v>
      </c>
      <c r="G5" s="52" t="str">
        <f>'Site Selector Data - edited'!H29</f>
        <v>https://www.ncei.noaa.gov/products/land-based-station/comparative-climatic-data</v>
      </c>
      <c r="H5" s="52" t="str">
        <f>'Site Selector Data - edited'!H34</f>
        <v>https://www.houstontx.gov/policies/adminpolicies/3-40.pdf</v>
      </c>
      <c r="I5" s="52" t="str">
        <f>'Site Selector Data - edited'!H39</f>
        <v>https://www.epa.gov/egrid (TX: 26.1% wind+solar+hydro)</v>
      </c>
      <c r="J5" s="52" t="str">
        <f>'Site Selector Data - edited'!H44</f>
        <v>https://www.eia.gov/electricity/sales_revenue_price/ (TX: 6.12¢/kWh)</v>
      </c>
      <c r="K5" s="52" t="str">
        <f>'Site Selector Data - edited'!H49</f>
        <v>https://www.houstonsecured.org/docs/2023_APRIL_WATER_RATES.pdf</v>
      </c>
      <c r="L5" s="52" t="str">
        <f>'Site Selector Data - edited'!H54</f>
        <v>https://pedp-ejscreen.azurewebsites.net/</v>
      </c>
      <c r="M5" s="52" t="str">
        <f>'Site Selector Data - edited'!H59</f>
        <v>https://gis.asce.org/beta-7-22/</v>
      </c>
      <c r="N5" s="52" t="str">
        <f>'Site Selector Data - edited'!H64</f>
        <v>https://www.floodsmart.gov/flood-zones-and-maps/what-is-my-flood-risk</v>
      </c>
      <c r="O5" s="52" t="str">
        <f>'Site Selector Data - edited'!H69</f>
        <v>https://www.tornadopath.com/texas/houston</v>
      </c>
      <c r="P5" s="52" t="str">
        <f>'Site Selector Data - edited'!H74</f>
        <v>https://firedanger.cr.usgs.gov/viewer/index.html</v>
      </c>
      <c r="Q5" s="52" t="str">
        <f>'Site Selector Data - edited'!H79</f>
        <v>https://forecast.weather.gov/product.php?site=NWS&amp;product=CLA&amp;issuedby=HOU</v>
      </c>
      <c r="R5" s="52" t="str">
        <f>'Site Selector Data - edited'!H84</f>
        <v>https://www.nps.gov/state/tx/index.htm</v>
      </c>
    </row>
    <row r="6" spans="1:18" x14ac:dyDescent="0.3">
      <c r="A6">
        <v>5</v>
      </c>
      <c r="B6" t="s">
        <v>16</v>
      </c>
      <c r="C6" s="52" t="str">
        <f>'Site Selector Data - edited'!H10</f>
        <v>https://www.wri.org/applications/aqueduct/water-risk-atlas/</v>
      </c>
      <c r="D6" s="52" t="str">
        <f>'Site Selector Data - edited'!H15</f>
        <v>https://www.ncei.noaa.gov/products/land-based-station/us-climate-normals</v>
      </c>
      <c r="E6" s="52" t="str">
        <f>'Site Selector Data - edited'!H20</f>
        <v>https://floridadep.gov/water/domestic-wastewater/content/water-reuse-program</v>
      </c>
      <c r="F6" s="52" t="str">
        <f>'Site Selector Data - edited'!H25</f>
        <v>https://www.ncei.noaa.gov/products/land-based-station/us-climate-normals</v>
      </c>
      <c r="G6" s="52" t="str">
        <f>'Site Selector Data - edited'!H30</f>
        <v>https://www.ncei.noaa.gov/products/land-based-station/comparative-climatic-data</v>
      </c>
      <c r="H6" s="52" t="str">
        <f>'Site Selector Data - edited'!H35</f>
        <v>https://www.epa.gov/egrid (FL: 786.6 lb/MWh)</v>
      </c>
      <c r="I6" s="52" t="str">
        <f>'Site Selector Data - edited'!H40</f>
        <v>https://www.epa.gov/egrid (FL: 6.7% wind+solar+hydro)</v>
      </c>
      <c r="J6" s="52" t="str">
        <f>'Site Selector Data - edited'!H45</f>
        <v>https://www.eia.gov/electricity/sales_revenue_price/ (FL: 8.50¢/kWh)</v>
      </c>
      <c r="K6" s="52" t="str">
        <f>'Site Selector Data - edited'!H50</f>
        <v>https://www.gainesville.org/DocumentCenter/View/14947/03-2026-Rate-Brochure</v>
      </c>
      <c r="L6" s="52" t="str">
        <f>'Site Selector Data - edited'!H55</f>
        <v>https://pedp-ejscreen.azurewebsites.net/</v>
      </c>
      <c r="M6" s="52" t="str">
        <f>'Site Selector Data - edited'!H60</f>
        <v>https://gis.asce.org/beta-7-22/</v>
      </c>
      <c r="N6" s="52" t="str">
        <f>'Site Selector Data - edited'!H65</f>
        <v>https://www.floodsmart.gov/flood-zones-and-maps/what-is-my-flood-risk</v>
      </c>
      <c r="O6" s="52" t="str">
        <f>'Site Selector Data - edited'!H70</f>
        <v>https://www.tornadopath.com/florida/alachua</v>
      </c>
      <c r="P6" s="52" t="str">
        <f>'Site Selector Data - edited'!H75</f>
        <v>https://firedanger.cr.usgs.gov/viewer/index.html</v>
      </c>
      <c r="Q6" s="52" t="str">
        <f>'Site Selector Data - edited'!H80</f>
        <v>https://forecast.weather.gov/product.php?site=JAX&amp;product=CLA&amp;issuedby=JAX</v>
      </c>
      <c r="R6" s="52" t="str">
        <f>'Site Selector Data - edited'!H85</f>
        <v>https://www.nps.gov/state/fl/index.htm</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13D22-9F6A-4BAC-81CB-4A2A094B8EF0}">
  <dimension ref="A1:D78"/>
  <sheetViews>
    <sheetView workbookViewId="0"/>
    <sheetView workbookViewId="1">
      <selection activeCell="C1" sqref="C1:D1"/>
    </sheetView>
  </sheetViews>
  <sheetFormatPr defaultRowHeight="14.4" x14ac:dyDescent="0.3"/>
  <cols>
    <col min="1" max="1" width="28.33203125" bestFit="1" customWidth="1"/>
    <col min="2" max="2" width="54" customWidth="1"/>
    <col min="4" max="4" width="11.5546875" bestFit="1" customWidth="1"/>
  </cols>
  <sheetData>
    <row r="1" spans="1:4" x14ac:dyDescent="0.3">
      <c r="A1" t="s">
        <v>18</v>
      </c>
      <c r="B1" t="s">
        <v>19</v>
      </c>
      <c r="C1" t="s">
        <v>163</v>
      </c>
      <c r="D1" t="s">
        <v>166</v>
      </c>
    </row>
    <row r="2" spans="1:4" x14ac:dyDescent="0.3">
      <c r="A2" s="55" t="s">
        <v>25</v>
      </c>
      <c r="B2" s="56" t="s">
        <v>26</v>
      </c>
      <c r="C2">
        <f>'Site Selector Data - edited'!J6</f>
        <v>5</v>
      </c>
      <c r="D2" t="str">
        <f>'Site Selector Data - edited'!K6</f>
        <v>low</v>
      </c>
    </row>
    <row r="3" spans="1:4" x14ac:dyDescent="0.3">
      <c r="A3" s="57"/>
      <c r="C3">
        <f>'Site Selector Data - edited'!J7</f>
        <v>4</v>
      </c>
      <c r="D3" t="str">
        <f>'Site Selector Data - edited'!K7</f>
        <v>low-medium</v>
      </c>
    </row>
    <row r="4" spans="1:4" x14ac:dyDescent="0.3">
      <c r="A4" s="57"/>
      <c r="C4">
        <f>'Site Selector Data - edited'!J8</f>
        <v>3</v>
      </c>
      <c r="D4" t="str">
        <f>'Site Selector Data - edited'!K8</f>
        <v>medium</v>
      </c>
    </row>
    <row r="5" spans="1:4" x14ac:dyDescent="0.3">
      <c r="A5" s="57"/>
      <c r="C5">
        <f>'Site Selector Data - edited'!J9</f>
        <v>2</v>
      </c>
      <c r="D5" t="str">
        <f>'Site Selector Data - edited'!K9</f>
        <v>medium-high</v>
      </c>
    </row>
    <row r="6" spans="1:4" x14ac:dyDescent="0.3">
      <c r="A6" s="58"/>
      <c r="B6" s="59"/>
      <c r="C6">
        <f>'Site Selector Data - edited'!J10</f>
        <v>1</v>
      </c>
      <c r="D6" t="str">
        <f>'Site Selector Data - edited'!K10</f>
        <v>high</v>
      </c>
    </row>
    <row r="7" spans="1:4" x14ac:dyDescent="0.3">
      <c r="A7" s="57" t="s">
        <v>32</v>
      </c>
      <c r="B7" t="s">
        <v>33</v>
      </c>
      <c r="C7">
        <f>'Site Selector Data - edited'!J11</f>
        <v>5</v>
      </c>
      <c r="D7" t="str">
        <f>'Site Selector Data - edited'!K11</f>
        <v>wettest</v>
      </c>
    </row>
    <row r="8" spans="1:4" x14ac:dyDescent="0.3">
      <c r="A8" s="57"/>
      <c r="C8">
        <f>'Site Selector Data - edited'!J12</f>
        <v>4</v>
      </c>
      <c r="D8">
        <f>'Site Selector Data - edited'!K12</f>
        <v>0</v>
      </c>
    </row>
    <row r="9" spans="1:4" x14ac:dyDescent="0.3">
      <c r="A9" s="57"/>
      <c r="C9">
        <f>'Site Selector Data - edited'!J13</f>
        <v>3</v>
      </c>
      <c r="D9">
        <f>'Site Selector Data - edited'!K13</f>
        <v>0</v>
      </c>
    </row>
    <row r="10" spans="1:4" x14ac:dyDescent="0.3">
      <c r="A10" s="57"/>
      <c r="C10">
        <f>'Site Selector Data - edited'!J14</f>
        <v>2</v>
      </c>
      <c r="D10">
        <f>'Site Selector Data - edited'!K14</f>
        <v>0</v>
      </c>
    </row>
    <row r="11" spans="1:4" x14ac:dyDescent="0.3">
      <c r="A11" s="58"/>
      <c r="B11" s="59"/>
      <c r="C11">
        <f>'Site Selector Data - edited'!J15</f>
        <v>1</v>
      </c>
      <c r="D11" t="str">
        <f>'Site Selector Data - edited'!K15</f>
        <v>dryest</v>
      </c>
    </row>
    <row r="12" spans="1:4" x14ac:dyDescent="0.3">
      <c r="A12" s="57" t="s">
        <v>36</v>
      </c>
      <c r="B12" t="s">
        <v>37</v>
      </c>
      <c r="C12">
        <f>'Site Selector Data - edited'!J16</f>
        <v>5</v>
      </c>
      <c r="D12" t="str">
        <f>'Site Selector Data - edited'!K16</f>
        <v>Yes</v>
      </c>
    </row>
    <row r="13" spans="1:4" x14ac:dyDescent="0.3">
      <c r="A13" s="58"/>
      <c r="B13" s="59"/>
      <c r="C13">
        <f>'Site Selector Data - edited'!J17</f>
        <v>1</v>
      </c>
      <c r="D13" t="str">
        <f>'Site Selector Data - edited'!K17</f>
        <v>No</v>
      </c>
    </row>
    <row r="14" spans="1:4" x14ac:dyDescent="0.3">
      <c r="A14" s="57" t="s">
        <v>41</v>
      </c>
      <c r="B14" t="s">
        <v>42</v>
      </c>
      <c r="C14">
        <f>'Site Selector Data - edited'!J18</f>
        <v>0</v>
      </c>
      <c r="D14">
        <f>'Site Selector Data - edited'!K18</f>
        <v>0</v>
      </c>
    </row>
    <row r="15" spans="1:4" x14ac:dyDescent="0.3">
      <c r="A15" s="57"/>
      <c r="C15">
        <f>'Site Selector Data - edited'!J19</f>
        <v>0</v>
      </c>
      <c r="D15">
        <f>'Site Selector Data - edited'!K19</f>
        <v>0</v>
      </c>
    </row>
    <row r="16" spans="1:4" x14ac:dyDescent="0.3">
      <c r="A16" s="57"/>
      <c r="C16">
        <f>'Site Selector Data - edited'!J20</f>
        <v>0</v>
      </c>
      <c r="D16">
        <f>'Site Selector Data - edited'!K20</f>
        <v>0</v>
      </c>
    </row>
    <row r="17" spans="1:4" x14ac:dyDescent="0.3">
      <c r="A17" s="57"/>
      <c r="C17">
        <f>'Site Selector Data - edited'!J21</f>
        <v>5</v>
      </c>
      <c r="D17" t="str">
        <f>'Site Selector Data - edited'!K21</f>
        <v>lowest</v>
      </c>
    </row>
    <row r="18" spans="1:4" x14ac:dyDescent="0.3">
      <c r="A18" s="58"/>
      <c r="B18" s="59"/>
      <c r="C18">
        <f>'Site Selector Data - edited'!J22</f>
        <v>4</v>
      </c>
      <c r="D18">
        <f>'Site Selector Data - edited'!K22</f>
        <v>0</v>
      </c>
    </row>
    <row r="19" spans="1:4" x14ac:dyDescent="0.3">
      <c r="A19" s="57" t="s">
        <v>44</v>
      </c>
      <c r="B19" t="s">
        <v>45</v>
      </c>
      <c r="C19">
        <f>'Site Selector Data - edited'!J23</f>
        <v>3</v>
      </c>
      <c r="D19">
        <f>'Site Selector Data - edited'!K23</f>
        <v>0</v>
      </c>
    </row>
    <row r="20" spans="1:4" x14ac:dyDescent="0.3">
      <c r="A20" s="57"/>
      <c r="C20">
        <f>'Site Selector Data - edited'!J24</f>
        <v>2</v>
      </c>
      <c r="D20">
        <f>'Site Selector Data - edited'!K24</f>
        <v>0</v>
      </c>
    </row>
    <row r="21" spans="1:4" x14ac:dyDescent="0.3">
      <c r="A21" s="57"/>
      <c r="C21">
        <f>'Site Selector Data - edited'!J25</f>
        <v>1</v>
      </c>
      <c r="D21" t="str">
        <f>'Site Selector Data - edited'!K25</f>
        <v>highest</v>
      </c>
    </row>
    <row r="22" spans="1:4" x14ac:dyDescent="0.3">
      <c r="A22" s="57"/>
      <c r="C22">
        <f>'Site Selector Data - edited'!J26</f>
        <v>5</v>
      </c>
      <c r="D22" t="str">
        <f>'Site Selector Data - edited'!K26</f>
        <v>lowest</v>
      </c>
    </row>
    <row r="23" spans="1:4" x14ac:dyDescent="0.3">
      <c r="A23" s="58"/>
      <c r="B23" s="59"/>
      <c r="C23">
        <f>'Site Selector Data - edited'!J27</f>
        <v>4</v>
      </c>
      <c r="D23">
        <f>'Site Selector Data - edited'!K27</f>
        <v>0</v>
      </c>
    </row>
    <row r="24" spans="1:4" x14ac:dyDescent="0.3">
      <c r="A24" s="57" t="s">
        <v>107</v>
      </c>
      <c r="B24" t="s">
        <v>142</v>
      </c>
      <c r="C24">
        <f>'Site Selector Data - edited'!J28</f>
        <v>3</v>
      </c>
      <c r="D24">
        <f>'Site Selector Data - edited'!K28</f>
        <v>0</v>
      </c>
    </row>
    <row r="25" spans="1:4" x14ac:dyDescent="0.3">
      <c r="A25" s="57"/>
      <c r="C25">
        <f>'Site Selector Data - edited'!J29</f>
        <v>2</v>
      </c>
      <c r="D25">
        <f>'Site Selector Data - edited'!K29</f>
        <v>0</v>
      </c>
    </row>
    <row r="26" spans="1:4" x14ac:dyDescent="0.3">
      <c r="A26" s="57"/>
      <c r="C26">
        <f>'Site Selector Data - edited'!J30</f>
        <v>1</v>
      </c>
      <c r="D26" t="str">
        <f>'Site Selector Data - edited'!K30</f>
        <v>highest</v>
      </c>
    </row>
    <row r="27" spans="1:4" x14ac:dyDescent="0.3">
      <c r="A27" s="57"/>
      <c r="C27">
        <f>'Site Selector Data - edited'!J31</f>
        <v>5</v>
      </c>
      <c r="D27" t="str">
        <f>'Site Selector Data - edited'!K31</f>
        <v>low</v>
      </c>
    </row>
    <row r="28" spans="1:4" x14ac:dyDescent="0.3">
      <c r="A28" s="58"/>
      <c r="B28" s="59"/>
      <c r="C28">
        <f>'Site Selector Data - edited'!J32</f>
        <v>4</v>
      </c>
      <c r="D28" t="str">
        <f>'Site Selector Data - edited'!K32</f>
        <v>medium-low</v>
      </c>
    </row>
    <row r="29" spans="1:4" x14ac:dyDescent="0.3">
      <c r="A29" s="57" t="s">
        <v>49</v>
      </c>
      <c r="B29" t="s">
        <v>50</v>
      </c>
      <c r="C29">
        <f>'Site Selector Data - edited'!J33</f>
        <v>3</v>
      </c>
      <c r="D29" t="str">
        <f>'Site Selector Data - edited'!K33</f>
        <v>medium</v>
      </c>
    </row>
    <row r="30" spans="1:4" x14ac:dyDescent="0.3">
      <c r="A30" s="57"/>
      <c r="C30">
        <f>'Site Selector Data - edited'!J34</f>
        <v>2</v>
      </c>
      <c r="D30" t="str">
        <f>'Site Selector Data - edited'!K34</f>
        <v>medium-high</v>
      </c>
    </row>
    <row r="31" spans="1:4" x14ac:dyDescent="0.3">
      <c r="A31" s="57"/>
      <c r="C31">
        <f>'Site Selector Data - edited'!J35</f>
        <v>1</v>
      </c>
      <c r="D31" t="str">
        <f>'Site Selector Data - edited'!K35</f>
        <v>high</v>
      </c>
    </row>
    <row r="32" spans="1:4" x14ac:dyDescent="0.3">
      <c r="A32" s="57"/>
      <c r="C32">
        <f>'Site Selector Data - edited'!J36</f>
        <v>5</v>
      </c>
      <c r="D32" t="str">
        <f>'Site Selector Data - edited'!K36</f>
        <v>highest</v>
      </c>
    </row>
    <row r="33" spans="1:4" x14ac:dyDescent="0.3">
      <c r="A33" s="58"/>
      <c r="B33" s="59"/>
      <c r="C33">
        <f>'Site Selector Data - edited'!J37</f>
        <v>4</v>
      </c>
      <c r="D33">
        <f>'Site Selector Data - edited'!K37</f>
        <v>0</v>
      </c>
    </row>
    <row r="34" spans="1:4" x14ac:dyDescent="0.3">
      <c r="A34" s="57" t="s">
        <v>56</v>
      </c>
      <c r="B34" t="s">
        <v>57</v>
      </c>
      <c r="C34">
        <f>'Site Selector Data - edited'!J38</f>
        <v>3</v>
      </c>
      <c r="D34">
        <f>'Site Selector Data - edited'!K38</f>
        <v>0</v>
      </c>
    </row>
    <row r="35" spans="1:4" x14ac:dyDescent="0.3">
      <c r="A35" s="57"/>
      <c r="C35">
        <f>'Site Selector Data - edited'!J39</f>
        <v>2</v>
      </c>
      <c r="D35">
        <f>'Site Selector Data - edited'!K39</f>
        <v>0</v>
      </c>
    </row>
    <row r="36" spans="1:4" x14ac:dyDescent="0.3">
      <c r="A36" s="57"/>
      <c r="C36">
        <f>'Site Selector Data - edited'!J40</f>
        <v>1</v>
      </c>
      <c r="D36" t="str">
        <f>'Site Selector Data - edited'!K40</f>
        <v>lowest</v>
      </c>
    </row>
    <row r="37" spans="1:4" x14ac:dyDescent="0.3">
      <c r="A37" s="57"/>
      <c r="C37">
        <f>'Site Selector Data - edited'!J41</f>
        <v>5</v>
      </c>
      <c r="D37" t="str">
        <f>'Site Selector Data - edited'!K41</f>
        <v>lowest</v>
      </c>
    </row>
    <row r="38" spans="1:4" x14ac:dyDescent="0.3">
      <c r="A38" s="58"/>
      <c r="B38" s="59"/>
      <c r="C38">
        <f>'Site Selector Data - edited'!J42</f>
        <v>4</v>
      </c>
      <c r="D38">
        <f>'Site Selector Data - edited'!K42</f>
        <v>0</v>
      </c>
    </row>
    <row r="39" spans="1:4" x14ac:dyDescent="0.3">
      <c r="A39" s="57" t="s">
        <v>64</v>
      </c>
      <c r="B39" t="s">
        <v>65</v>
      </c>
      <c r="C39">
        <f>'Site Selector Data - edited'!J43</f>
        <v>3</v>
      </c>
      <c r="D39">
        <f>'Site Selector Data - edited'!K43</f>
        <v>0</v>
      </c>
    </row>
    <row r="40" spans="1:4" x14ac:dyDescent="0.3">
      <c r="A40" s="57"/>
      <c r="C40">
        <f>'Site Selector Data - edited'!J44</f>
        <v>2</v>
      </c>
      <c r="D40">
        <f>'Site Selector Data - edited'!K44</f>
        <v>0</v>
      </c>
    </row>
    <row r="41" spans="1:4" x14ac:dyDescent="0.3">
      <c r="A41" s="57"/>
      <c r="C41">
        <f>'Site Selector Data - edited'!J45</f>
        <v>1</v>
      </c>
      <c r="D41" t="str">
        <f>'Site Selector Data - edited'!K45</f>
        <v>highest</v>
      </c>
    </row>
    <row r="42" spans="1:4" x14ac:dyDescent="0.3">
      <c r="A42" s="57"/>
      <c r="C42">
        <f>'Site Selector Data - edited'!J46</f>
        <v>5</v>
      </c>
      <c r="D42" t="str">
        <f>'Site Selector Data - edited'!K46</f>
        <v>lowest</v>
      </c>
    </row>
    <row r="43" spans="1:4" x14ac:dyDescent="0.3">
      <c r="A43" s="58"/>
      <c r="B43" s="59"/>
      <c r="C43">
        <f>'Site Selector Data - edited'!J47</f>
        <v>4</v>
      </c>
      <c r="D43">
        <f>'Site Selector Data - edited'!K47</f>
        <v>0</v>
      </c>
    </row>
    <row r="44" spans="1:4" x14ac:dyDescent="0.3">
      <c r="A44" s="57" t="s">
        <v>67</v>
      </c>
      <c r="B44" t="s">
        <v>68</v>
      </c>
      <c r="C44">
        <f>'Site Selector Data - edited'!J48</f>
        <v>3</v>
      </c>
      <c r="D44">
        <f>'Site Selector Data - edited'!K48</f>
        <v>0</v>
      </c>
    </row>
    <row r="45" spans="1:4" x14ac:dyDescent="0.3">
      <c r="A45" s="57"/>
      <c r="C45">
        <f>'Site Selector Data - edited'!J49</f>
        <v>2</v>
      </c>
      <c r="D45">
        <f>'Site Selector Data - edited'!K49</f>
        <v>0</v>
      </c>
    </row>
    <row r="46" spans="1:4" x14ac:dyDescent="0.3">
      <c r="A46" s="57"/>
      <c r="C46">
        <f>'Site Selector Data - edited'!J50</f>
        <v>1</v>
      </c>
      <c r="D46" t="str">
        <f>'Site Selector Data - edited'!K50</f>
        <v>highest</v>
      </c>
    </row>
    <row r="47" spans="1:4" x14ac:dyDescent="0.3">
      <c r="A47" s="57"/>
      <c r="C47">
        <f>'Site Selector Data - edited'!J51</f>
        <v>5</v>
      </c>
      <c r="D47" t="str">
        <f>'Site Selector Data - edited'!K51</f>
        <v>lowest</v>
      </c>
    </row>
    <row r="48" spans="1:4" x14ac:dyDescent="0.3">
      <c r="A48" s="58"/>
      <c r="B48" s="59"/>
      <c r="C48">
        <f>'Site Selector Data - edited'!J52</f>
        <v>4</v>
      </c>
      <c r="D48">
        <f>'Site Selector Data - edited'!K52</f>
        <v>0</v>
      </c>
    </row>
    <row r="49" spans="1:4" x14ac:dyDescent="0.3">
      <c r="A49" s="57" t="s">
        <v>70</v>
      </c>
      <c r="B49" t="s">
        <v>123</v>
      </c>
      <c r="C49">
        <f>'Site Selector Data - edited'!J53</f>
        <v>3</v>
      </c>
      <c r="D49">
        <f>'Site Selector Data - edited'!K53</f>
        <v>0</v>
      </c>
    </row>
    <row r="50" spans="1:4" x14ac:dyDescent="0.3">
      <c r="A50" s="57"/>
      <c r="C50">
        <f>'Site Selector Data - edited'!J54</f>
        <v>2</v>
      </c>
      <c r="D50">
        <f>'Site Selector Data - edited'!K54</f>
        <v>0</v>
      </c>
    </row>
    <row r="51" spans="1:4" x14ac:dyDescent="0.3">
      <c r="A51" s="57"/>
      <c r="C51">
        <f>'Site Selector Data - edited'!J55</f>
        <v>1</v>
      </c>
      <c r="D51" t="str">
        <f>'Site Selector Data - edited'!K55</f>
        <v>highest</v>
      </c>
    </row>
    <row r="52" spans="1:4" x14ac:dyDescent="0.3">
      <c r="A52" s="57"/>
      <c r="C52">
        <f>'Site Selector Data - edited'!J56</f>
        <v>5</v>
      </c>
      <c r="D52" t="str">
        <f>'Site Selector Data - edited'!K56</f>
        <v>A</v>
      </c>
    </row>
    <row r="53" spans="1:4" x14ac:dyDescent="0.3">
      <c r="A53" s="58"/>
      <c r="B53" s="59"/>
      <c r="C53">
        <f>'Site Selector Data - edited'!J57</f>
        <v>4</v>
      </c>
      <c r="D53" t="str">
        <f>'Site Selector Data - edited'!K57</f>
        <v>B</v>
      </c>
    </row>
    <row r="54" spans="1:4" x14ac:dyDescent="0.3">
      <c r="A54" s="57" t="s">
        <v>72</v>
      </c>
      <c r="B54" t="s">
        <v>73</v>
      </c>
      <c r="C54">
        <f>'Site Selector Data - edited'!J58</f>
        <v>3</v>
      </c>
      <c r="D54" t="str">
        <f>'Site Selector Data - edited'!K58</f>
        <v>C</v>
      </c>
    </row>
    <row r="55" spans="1:4" x14ac:dyDescent="0.3">
      <c r="A55" s="57"/>
      <c r="C55">
        <f>'Site Selector Data - edited'!J59</f>
        <v>2</v>
      </c>
      <c r="D55" t="str">
        <f>'Site Selector Data - edited'!K59</f>
        <v>D</v>
      </c>
    </row>
    <row r="56" spans="1:4" x14ac:dyDescent="0.3">
      <c r="A56" s="57"/>
      <c r="C56">
        <f>'Site Selector Data - edited'!J60</f>
        <v>1</v>
      </c>
      <c r="D56" t="str">
        <f>'Site Selector Data - edited'!K60</f>
        <v>E &amp; F</v>
      </c>
    </row>
    <row r="57" spans="1:4" x14ac:dyDescent="0.3">
      <c r="A57" s="57"/>
      <c r="C57">
        <f>'Site Selector Data - edited'!J61</f>
        <v>5</v>
      </c>
      <c r="D57" t="str">
        <f>'Site Selector Data - edited'!K61</f>
        <v>low</v>
      </c>
    </row>
    <row r="58" spans="1:4" x14ac:dyDescent="0.3">
      <c r="A58" s="58"/>
      <c r="B58" s="59"/>
      <c r="C58">
        <f>'Site Selector Data - edited'!J62</f>
        <v>4</v>
      </c>
      <c r="D58" t="str">
        <f>'Site Selector Data - edited'!K62</f>
        <v>medium-low</v>
      </c>
    </row>
    <row r="59" spans="1:4" x14ac:dyDescent="0.3">
      <c r="A59" s="57" t="s">
        <v>76</v>
      </c>
      <c r="B59" t="s">
        <v>77</v>
      </c>
      <c r="C59">
        <f>'Site Selector Data - edited'!J63</f>
        <v>3</v>
      </c>
      <c r="D59" t="str">
        <f>'Site Selector Data - edited'!K63</f>
        <v>medium</v>
      </c>
    </row>
    <row r="60" spans="1:4" x14ac:dyDescent="0.3">
      <c r="A60" s="57"/>
      <c r="C60">
        <f>'Site Selector Data - edited'!J64</f>
        <v>2</v>
      </c>
      <c r="D60" t="str">
        <f>'Site Selector Data - edited'!K64</f>
        <v>medium-high</v>
      </c>
    </row>
    <row r="61" spans="1:4" x14ac:dyDescent="0.3">
      <c r="A61" s="57"/>
      <c r="C61">
        <f>'Site Selector Data - edited'!J65</f>
        <v>1</v>
      </c>
      <c r="D61" t="str">
        <f>'Site Selector Data - edited'!K65</f>
        <v>high</v>
      </c>
    </row>
    <row r="62" spans="1:4" x14ac:dyDescent="0.3">
      <c r="A62" s="57"/>
      <c r="C62">
        <f>'Site Selector Data - edited'!J66</f>
        <v>5</v>
      </c>
      <c r="D62" t="str">
        <f>'Site Selector Data - edited'!K66</f>
        <v>lowest</v>
      </c>
    </row>
    <row r="63" spans="1:4" x14ac:dyDescent="0.3">
      <c r="A63" s="58"/>
      <c r="B63" s="59"/>
      <c r="C63">
        <f>'Site Selector Data - edited'!J67</f>
        <v>4</v>
      </c>
      <c r="D63">
        <f>'Site Selector Data - edited'!K67</f>
        <v>0</v>
      </c>
    </row>
    <row r="64" spans="1:4" x14ac:dyDescent="0.3">
      <c r="A64" s="57" t="s">
        <v>79</v>
      </c>
      <c r="B64" t="s">
        <v>80</v>
      </c>
      <c r="C64">
        <f>'Site Selector Data - edited'!J68</f>
        <v>3</v>
      </c>
      <c r="D64">
        <f>'Site Selector Data - edited'!K68</f>
        <v>0</v>
      </c>
    </row>
    <row r="65" spans="1:4" x14ac:dyDescent="0.3">
      <c r="A65" s="57"/>
      <c r="C65">
        <f>'Site Selector Data - edited'!J69</f>
        <v>2</v>
      </c>
      <c r="D65">
        <f>'Site Selector Data - edited'!K69</f>
        <v>0</v>
      </c>
    </row>
    <row r="66" spans="1:4" x14ac:dyDescent="0.3">
      <c r="A66" s="57"/>
      <c r="C66">
        <f>'Site Selector Data - edited'!J70</f>
        <v>1</v>
      </c>
      <c r="D66" t="str">
        <f>'Site Selector Data - edited'!K70</f>
        <v>highest</v>
      </c>
    </row>
    <row r="67" spans="1:4" x14ac:dyDescent="0.3">
      <c r="A67" s="57"/>
      <c r="C67">
        <f>'Site Selector Data - edited'!J71</f>
        <v>5</v>
      </c>
      <c r="D67" t="str">
        <f>'Site Selector Data - edited'!K71</f>
        <v>low</v>
      </c>
    </row>
    <row r="68" spans="1:4" x14ac:dyDescent="0.3">
      <c r="A68" s="58"/>
      <c r="B68" s="59"/>
      <c r="C68">
        <f>'Site Selector Data - edited'!J72</f>
        <v>4</v>
      </c>
      <c r="D68" t="str">
        <f>'Site Selector Data - edited'!K72</f>
        <v>medium-low</v>
      </c>
    </row>
    <row r="69" spans="1:4" x14ac:dyDescent="0.3">
      <c r="A69" s="57" t="s">
        <v>81</v>
      </c>
      <c r="B69" t="s">
        <v>82</v>
      </c>
      <c r="C69">
        <f>'Site Selector Data - edited'!J73</f>
        <v>3</v>
      </c>
      <c r="D69" t="str">
        <f>'Site Selector Data - edited'!K73</f>
        <v>medium</v>
      </c>
    </row>
    <row r="70" spans="1:4" x14ac:dyDescent="0.3">
      <c r="A70" s="57"/>
      <c r="C70">
        <f>'Site Selector Data - edited'!J74</f>
        <v>2</v>
      </c>
      <c r="D70" t="str">
        <f>'Site Selector Data - edited'!K74</f>
        <v>medium-high</v>
      </c>
    </row>
    <row r="71" spans="1:4" x14ac:dyDescent="0.3">
      <c r="A71" s="57"/>
      <c r="C71">
        <f>'Site Selector Data - edited'!J75</f>
        <v>1</v>
      </c>
      <c r="D71" t="str">
        <f>'Site Selector Data - edited'!K75</f>
        <v>high</v>
      </c>
    </row>
    <row r="72" spans="1:4" x14ac:dyDescent="0.3">
      <c r="A72" s="57"/>
      <c r="C72">
        <f>'Site Selector Data - edited'!J76</f>
        <v>5</v>
      </c>
      <c r="D72" t="str">
        <f>'Site Selector Data - edited'!K76</f>
        <v>low</v>
      </c>
    </row>
    <row r="73" spans="1:4" x14ac:dyDescent="0.3">
      <c r="A73" s="58"/>
      <c r="B73" s="59"/>
      <c r="C73">
        <f>'Site Selector Data - edited'!J77</f>
        <v>4</v>
      </c>
      <c r="D73" t="str">
        <f>'Site Selector Data - edited'!K77</f>
        <v>medium-low</v>
      </c>
    </row>
    <row r="74" spans="1:4" x14ac:dyDescent="0.3">
      <c r="A74" s="57" t="s">
        <v>83</v>
      </c>
      <c r="B74" t="s">
        <v>84</v>
      </c>
      <c r="C74">
        <f>'Site Selector Data - edited'!J78</f>
        <v>3</v>
      </c>
      <c r="D74" t="str">
        <f>'Site Selector Data - edited'!K78</f>
        <v>medium</v>
      </c>
    </row>
    <row r="75" spans="1:4" x14ac:dyDescent="0.3">
      <c r="A75" s="57"/>
      <c r="C75">
        <f>'Site Selector Data - edited'!J79</f>
        <v>2</v>
      </c>
      <c r="D75" t="str">
        <f>'Site Selector Data - edited'!K79</f>
        <v>medium-high</v>
      </c>
    </row>
    <row r="76" spans="1:4" x14ac:dyDescent="0.3">
      <c r="A76" s="57"/>
      <c r="C76">
        <f>'Site Selector Data - edited'!J80</f>
        <v>1</v>
      </c>
      <c r="D76" t="str">
        <f>'Site Selector Data - edited'!K80</f>
        <v>high</v>
      </c>
    </row>
    <row r="77" spans="1:4" x14ac:dyDescent="0.3">
      <c r="A77" s="57"/>
      <c r="C77">
        <f>'Site Selector Data - edited'!J81</f>
        <v>5</v>
      </c>
      <c r="D77" t="str">
        <f>'Site Selector Data - edited'!K81</f>
        <v>best</v>
      </c>
    </row>
    <row r="78" spans="1:4" x14ac:dyDescent="0.3">
      <c r="A78" s="58"/>
      <c r="B78" s="59"/>
      <c r="C78">
        <f>'Site Selector Data - edited'!J82</f>
        <v>4</v>
      </c>
      <c r="D78">
        <f>'Site Selector Data - edited'!K82</f>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D1489-FA41-478E-B490-B72187CAA2B2}">
  <dimension ref="A1:B6"/>
  <sheetViews>
    <sheetView workbookViewId="0"/>
    <sheetView workbookViewId="1">
      <selection activeCell="B1" sqref="B1"/>
    </sheetView>
  </sheetViews>
  <sheetFormatPr defaultRowHeight="14.4" x14ac:dyDescent="0.3"/>
  <sheetData>
    <row r="1" spans="1:2" x14ac:dyDescent="0.3">
      <c r="A1" t="s">
        <v>17</v>
      </c>
      <c r="B1" t="s">
        <v>168</v>
      </c>
    </row>
    <row r="2" spans="1:2" x14ac:dyDescent="0.3">
      <c r="A2" t="s">
        <v>2</v>
      </c>
      <c r="B2">
        <f>'Site Selector Data - edited'!A3</f>
        <v>0.25</v>
      </c>
    </row>
    <row r="3" spans="1:2" x14ac:dyDescent="0.3">
      <c r="A3" t="s">
        <v>3</v>
      </c>
      <c r="B3">
        <f>'Site Selector Data - edited'!B3</f>
        <v>0.3</v>
      </c>
    </row>
    <row r="4" spans="1:2" x14ac:dyDescent="0.3">
      <c r="A4" t="s">
        <v>4</v>
      </c>
      <c r="B4">
        <f>'Site Selector Data - edited'!C3</f>
        <v>0.15</v>
      </c>
    </row>
    <row r="5" spans="1:2" x14ac:dyDescent="0.3">
      <c r="A5" t="s">
        <v>5</v>
      </c>
      <c r="B5">
        <f>'Site Selector Data - edited'!D3</f>
        <v>0.2</v>
      </c>
    </row>
    <row r="6" spans="1:2" x14ac:dyDescent="0.3">
      <c r="A6" t="s">
        <v>6</v>
      </c>
      <c r="B6">
        <f>'Site Selector Data - edited'!E3</f>
        <v>0.1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48F76-2A69-4DBC-8F48-8BC8BBB78109}">
  <dimension ref="A1:D6"/>
  <sheetViews>
    <sheetView workbookViewId="0"/>
    <sheetView workbookViewId="1">
      <selection activeCell="D12" sqref="D12"/>
    </sheetView>
  </sheetViews>
  <sheetFormatPr defaultRowHeight="14.4" x14ac:dyDescent="0.3"/>
  <cols>
    <col min="2" max="2" width="11.44140625" customWidth="1"/>
    <col min="3" max="3" width="13.44140625" bestFit="1" customWidth="1"/>
    <col min="4" max="4" width="23.33203125" bestFit="1" customWidth="1"/>
  </cols>
  <sheetData>
    <row r="1" spans="1:4" x14ac:dyDescent="0.3">
      <c r="A1" t="s">
        <v>170</v>
      </c>
      <c r="B1" t="s">
        <v>19</v>
      </c>
      <c r="C1" t="s">
        <v>163</v>
      </c>
      <c r="D1" t="s">
        <v>166</v>
      </c>
    </row>
    <row r="2" spans="1:4" x14ac:dyDescent="0.3">
      <c r="A2" t="s">
        <v>169</v>
      </c>
      <c r="B2" t="s">
        <v>162</v>
      </c>
      <c r="C2">
        <f>'Site Selector Data - edited'!J87</f>
        <v>5</v>
      </c>
      <c r="D2" t="str">
        <f>'Site Selector Data - edited'!K87</f>
        <v>low</v>
      </c>
    </row>
    <row r="3" spans="1:4" x14ac:dyDescent="0.3">
      <c r="C3">
        <f>'Site Selector Data - edited'!J88</f>
        <v>4</v>
      </c>
      <c r="D3" t="str">
        <f>'Site Selector Data - edited'!K88</f>
        <v>medium-low</v>
      </c>
    </row>
    <row r="4" spans="1:4" x14ac:dyDescent="0.3">
      <c r="C4">
        <f>'Site Selector Data - edited'!J89</f>
        <v>3</v>
      </c>
      <c r="D4" t="str">
        <f>'Site Selector Data - edited'!K89</f>
        <v>medium</v>
      </c>
    </row>
    <row r="5" spans="1:4" x14ac:dyDescent="0.3">
      <c r="C5">
        <f>'Site Selector Data - edited'!J90</f>
        <v>2</v>
      </c>
      <c r="D5" t="str">
        <f>'Site Selector Data - edited'!K90</f>
        <v>medium-high</v>
      </c>
    </row>
    <row r="6" spans="1:4" x14ac:dyDescent="0.3">
      <c r="C6">
        <f>'Site Selector Data - edited'!J91</f>
        <v>1</v>
      </c>
      <c r="D6" t="str">
        <f>'Site Selector Data - edited'!K91</f>
        <v>high</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8AA87-966A-4C19-B934-2FB582EDD70F}">
  <dimension ref="A1:D6"/>
  <sheetViews>
    <sheetView workbookViewId="0"/>
    <sheetView workbookViewId="1">
      <selection activeCell="G30" sqref="G30"/>
    </sheetView>
  </sheetViews>
  <sheetFormatPr defaultRowHeight="14.4" x14ac:dyDescent="0.3"/>
  <sheetData>
    <row r="1" spans="1:4" x14ac:dyDescent="0.3">
      <c r="A1" t="s">
        <v>21</v>
      </c>
      <c r="B1" t="s">
        <v>22</v>
      </c>
      <c r="C1" t="s">
        <v>23</v>
      </c>
      <c r="D1" t="s">
        <v>24</v>
      </c>
    </row>
    <row r="2" spans="1:4" x14ac:dyDescent="0.3">
      <c r="A2">
        <v>1</v>
      </c>
      <c r="B2" t="str">
        <f>'Site Selector Data - edited'!F87</f>
        <v>high</v>
      </c>
      <c r="C2">
        <f>'Site Selector Data - edited'!G87</f>
        <v>1</v>
      </c>
      <c r="D2" t="str">
        <f>'Site Selector Data - edited'!H87</f>
        <v>https://www.cpc.ncep.noaa.gov/products/expert_assessment/sdo_summary.php#:~:text=Despite%20an%20increasingly%20wet%20time,forecast%20to%20remain%20drought%2Dfree.</v>
      </c>
    </row>
    <row r="3" spans="1:4" x14ac:dyDescent="0.3">
      <c r="A3">
        <v>2</v>
      </c>
      <c r="B3" t="str">
        <f>'Site Selector Data - edited'!F88</f>
        <v>medium</v>
      </c>
      <c r="C3">
        <f>'Site Selector Data - edited'!G88</f>
        <v>3</v>
      </c>
      <c r="D3" t="str">
        <f>'Site Selector Data - edited'!H88</f>
        <v>https://www.cpc.ncep.noaa.gov/products/expert_assessment/sdo_summary.php#:~:text=Despite%20an%20increasingly%20wet%20time,forecast%20to%20remain%20drought%2Dfree.</v>
      </c>
    </row>
    <row r="4" spans="1:4" x14ac:dyDescent="0.3">
      <c r="A4">
        <v>3</v>
      </c>
      <c r="B4" t="str">
        <f>'Site Selector Data - edited'!F89</f>
        <v>high</v>
      </c>
      <c r="C4">
        <f>'Site Selector Data - edited'!G89</f>
        <v>1</v>
      </c>
      <c r="D4" t="str">
        <f>'Site Selector Data - edited'!H89</f>
        <v>https://www.cpc.ncep.noaa.gov/products/expert_assessment/sdo_summary.php#:~:text=Despite%20an%20increasingly%20wet%20time,forecast%20to%20remain%20drought%2Dfree.</v>
      </c>
    </row>
    <row r="5" spans="1:4" x14ac:dyDescent="0.3">
      <c r="A5">
        <v>4</v>
      </c>
      <c r="B5" t="str">
        <f>'Site Selector Data - edited'!F90</f>
        <v>medium-high</v>
      </c>
      <c r="C5">
        <f>'Site Selector Data - edited'!G90</f>
        <v>2</v>
      </c>
      <c r="D5" t="str">
        <f>'Site Selector Data - edited'!H90</f>
        <v>https://www.cpc.ncep.noaa.gov/products/expert_assessment/sdo_summary.php#:~:text=Despite%20an%20increasingly%20wet%20time,forecast%20to%20remain%20drought%2Dfree.</v>
      </c>
    </row>
    <row r="6" spans="1:4" x14ac:dyDescent="0.3">
      <c r="A6">
        <v>5</v>
      </c>
      <c r="B6" t="str">
        <f>'Site Selector Data - edited'!F91</f>
        <v>medium-high</v>
      </c>
      <c r="C6">
        <f>'Site Selector Data - edited'!G91</f>
        <v>2</v>
      </c>
      <c r="D6" t="str">
        <f>'Site Selector Data - edited'!H91</f>
        <v>https://www.cpc.ncep.noaa.gov/products/expert_assessment/sdo_summary.php#:~:text=Despite%20an%20increasingly%20wet%20time,forecast%20to%20remain%20drought%2Dfree.</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Site Selector Data - edited</vt:lpstr>
      <vt:lpstr>City Assignments</vt:lpstr>
      <vt:lpstr>Accounts</vt:lpstr>
      <vt:lpstr>Values</vt:lpstr>
      <vt:lpstr>Scores</vt:lpstr>
      <vt:lpstr>Sources</vt:lpstr>
      <vt:lpstr>Scoring Criteria</vt:lpstr>
      <vt:lpstr>Account Weights</vt:lpstr>
      <vt:lpstr>Scenarios</vt:lpstr>
      <vt:lpstr>Scenario-Drought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Laffite Discua,Kenneth</cp:lastModifiedBy>
  <cp:revision/>
  <dcterms:created xsi:type="dcterms:W3CDTF">2026-03-05T07:17:17Z</dcterms:created>
  <dcterms:modified xsi:type="dcterms:W3CDTF">2026-04-27T23:51:57Z</dcterms:modified>
  <cp:category/>
  <cp:contentStatus/>
</cp:coreProperties>
</file>